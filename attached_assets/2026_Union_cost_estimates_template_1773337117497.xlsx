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BUDGET" sheetId="1" r:id="rId5"/>
    <sheet state="visible" name="INTERNAL BUDGET" sheetId="2" r:id="rId6"/>
    <sheet state="visible" name="loaded rate calc"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Cost is .79% of Revenue. We are assuming it = 1% of Payroll for simple math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Cost is .79% of Revenue. We are assuming it = 1% of Payroll for simple math</t>
      </text>
    </comment>
  </commentList>
</comments>
</file>

<file path=xl/sharedStrings.xml><?xml version="1.0" encoding="utf-8"?>
<sst xmlns="http://schemas.openxmlformats.org/spreadsheetml/2006/main" count="237" uniqueCount="123">
  <si>
    <t>Union Chief</t>
  </si>
  <si>
    <t>M5 Services</t>
  </si>
  <si>
    <t>LABOR COST ESTIMATE 2026</t>
  </si>
  <si>
    <t>Union Chief  ||  @ Building @ Customer</t>
  </si>
  <si>
    <t>Feburary 2026</t>
  </si>
  <si>
    <t>TOTALS</t>
  </si>
  <si>
    <t>Hours Per EE Per Month</t>
  </si>
  <si>
    <t>FTE #</t>
  </si>
  <si>
    <t>Union Engineer</t>
  </si>
  <si>
    <t>Straight-time Labor Cost</t>
  </si>
  <si>
    <t>Total Straight-time Labor Cost</t>
  </si>
  <si>
    <t>Union Health and Welfare</t>
  </si>
  <si>
    <t>Pension</t>
  </si>
  <si>
    <t>Annuity</t>
  </si>
  <si>
    <t>Local 39 Training Fund</t>
  </si>
  <si>
    <t>National Training Fund</t>
  </si>
  <si>
    <t>Life/LTD</t>
  </si>
  <si>
    <t>Uniforms</t>
  </si>
  <si>
    <t>Phone</t>
  </si>
  <si>
    <t>Safety, Email, ADP</t>
  </si>
  <si>
    <t>PM Program / Support</t>
  </si>
  <si>
    <t>Payroll Tax &amp; Insurance</t>
  </si>
  <si>
    <t>Direct Cost - Sub Total</t>
  </si>
  <si>
    <t>Overhead / Management</t>
  </si>
  <si>
    <t>#</t>
  </si>
  <si>
    <t>Subtotal</t>
  </si>
  <si>
    <t>Gross receipts tax</t>
  </si>
  <si>
    <t>Tier 3-4 ( $2.5M - $25M )</t>
  </si>
  <si>
    <t>TOTAL MONTHLY COST</t>
  </si>
  <si>
    <t>NOTES:</t>
  </si>
  <si>
    <t>0. This cost estimate is provided for budgeting and planning purposes only and does not constitute a binding agreement or guarantee of pricing. Final scope, pricing, and terms are subject to execution of a mutually agreed-upon written contract. This estimate is valid for thirty (30) days from the date issued unless otherwise stated in writing.</t>
  </si>
  <si>
    <t>1. Vacation, sick leave, holidays, and other paid time off (PTO) requiring replacement coverage will be billed as incurred with prior client approval. All PTO accruals, including holiday pay for part-time personnel, remain the financial responsibility of the client, regardless of whether replacement coverage is required..</t>
  </si>
  <si>
    <t>2. Estimated hours reflect part-time employment. Full-time employment is defined as 2,088 hours annually. Actual hours worked may vary. Overtime is not included and will be billed as incurred with approval or as outlined in the final contract.</t>
  </si>
  <si>
    <t>3. All applicable personnel and payroll-related cost factors will be passed through to the client, including employee wages, payroll taxes, insurance, and employee benefit plans.</t>
  </si>
  <si>
    <t>4. Mileage, supplies, and other reimbursable costs will be billed as incurred. Purchased materials will be re-billed at cost plus fifteen percent (15%) or a minimum fee of $50.00, whichever is greater.</t>
  </si>
  <si>
    <t>5. Bonuses are not included in this estimate. A 401(k) benefit has been included as an employee benefit and is reflected in applicable labor cost factors.</t>
  </si>
  <si>
    <t>6. Costs associated with the preventative maintenance platform will be billed only if requested and implemented.</t>
  </si>
  <si>
    <t>7. In the event of any discrepancy, the terms of the final executed agreement shall govern</t>
  </si>
  <si>
    <t xml:space="preserve">without union benfits </t>
  </si>
  <si>
    <t>$117 an hour to cushman</t>
  </si>
  <si>
    <t>!THIS IS FOR INTERNAL USE ONLY!</t>
  </si>
  <si>
    <t>CLIENT</t>
  </si>
  <si>
    <t>Cost</t>
  </si>
  <si>
    <t>Inc Sep 1 2026</t>
  </si>
  <si>
    <t>Markup</t>
  </si>
  <si>
    <t>Jan</t>
  </si>
  <si>
    <t>Feb</t>
  </si>
  <si>
    <t>March</t>
  </si>
  <si>
    <t>April</t>
  </si>
  <si>
    <t>May</t>
  </si>
  <si>
    <t>June</t>
  </si>
  <si>
    <t>July</t>
  </si>
  <si>
    <t>August</t>
  </si>
  <si>
    <t>September</t>
  </si>
  <si>
    <t>October</t>
  </si>
  <si>
    <t>November</t>
  </si>
  <si>
    <t>December</t>
  </si>
  <si>
    <t>Hours Per Month</t>
  </si>
  <si>
    <t>Total Hours</t>
  </si>
  <si>
    <t>Rate</t>
  </si>
  <si>
    <t>Labor Cost</t>
  </si>
  <si>
    <t>Total Labor Cost</t>
  </si>
  <si>
    <t>Payroll Costs</t>
  </si>
  <si>
    <t>FICA - SSA (6.2% of Payroll)</t>
  </si>
  <si>
    <t>FICA - Medicare (1.45% of Payroll)</t>
  </si>
  <si>
    <t>FUTA - Unemployment</t>
  </si>
  <si>
    <t xml:space="preserve">CA - Unemployment  </t>
  </si>
  <si>
    <t>CA - ETT (Employee training Tax)</t>
  </si>
  <si>
    <t xml:space="preserve">WC Policy </t>
  </si>
  <si>
    <t>Bonding Liability Insurance</t>
  </si>
  <si>
    <t>Profit mark-up Tax and insurance</t>
  </si>
  <si>
    <t>Total Payroll Costs</t>
  </si>
  <si>
    <t>Billable Tax and Insurance</t>
  </si>
  <si>
    <t>Total Payroll Revenue</t>
  </si>
  <si>
    <t>% of Payroll</t>
  </si>
  <si>
    <t>Other Costs (per EE per Month) Union</t>
  </si>
  <si>
    <t>Increase Sept 1</t>
  </si>
  <si>
    <t>Union Health and Welfare employee</t>
  </si>
  <si>
    <t>Heath and Welfare</t>
  </si>
  <si>
    <t>Apprentiship Training Fund</t>
  </si>
  <si>
    <t>Health and Welfare Profit Markup</t>
  </si>
  <si>
    <t>Total Union Benefits</t>
  </si>
  <si>
    <t>Total Union Benefits Revenue</t>
  </si>
  <si>
    <t xml:space="preserve">Cost to outfit maintence vehicle </t>
  </si>
  <si>
    <t xml:space="preserve"> (loan) (purchased) Cost of Maintence vehicle</t>
  </si>
  <si>
    <t>Gas</t>
  </si>
  <si>
    <t>Miantenance</t>
  </si>
  <si>
    <t>Total Car</t>
  </si>
  <si>
    <t>Vehical cost</t>
  </si>
  <si>
    <t>Vehicle total cost</t>
  </si>
  <si>
    <t>401K @3.7% Salary Match</t>
  </si>
  <si>
    <t>Total Uniforms</t>
  </si>
  <si>
    <t>Electronic Device</t>
  </si>
  <si>
    <t>Total Electronic Device</t>
  </si>
  <si>
    <t>HR per person</t>
  </si>
  <si>
    <t>LIFE/LTD @50,001</t>
  </si>
  <si>
    <t>HR &amp; LIFE/LTD @50,000</t>
  </si>
  <si>
    <t>Total LIFE/LTD @50,000</t>
  </si>
  <si>
    <t>Email</t>
  </si>
  <si>
    <t>Safety</t>
  </si>
  <si>
    <t>ADP</t>
  </si>
  <si>
    <t>Total Safety, Email, ADP,HR</t>
  </si>
  <si>
    <t>PM Pogram</t>
  </si>
  <si>
    <t>Total PM Pogram</t>
  </si>
  <si>
    <t>Profit</t>
  </si>
  <si>
    <t>Total Other Costs</t>
  </si>
  <si>
    <t>Total Other Revenue</t>
  </si>
  <si>
    <t>Estimated Cost of Goods</t>
  </si>
  <si>
    <t>Total Cost of Goods</t>
  </si>
  <si>
    <t>Revenue</t>
  </si>
  <si>
    <t>Total Revenue</t>
  </si>
  <si>
    <t>Management Fee</t>
  </si>
  <si>
    <t>Total Management Fee</t>
  </si>
  <si>
    <t>TOTAL</t>
  </si>
  <si>
    <t>Total Contract</t>
  </si>
  <si>
    <t>Total Profit</t>
  </si>
  <si>
    <t>Profit %</t>
  </si>
  <si>
    <t>SF Gross Tax recipet  based off revenue in SF</t>
  </si>
  <si>
    <t>SF gross tax reciepts</t>
  </si>
  <si>
    <t>Total with SF gross</t>
  </si>
  <si>
    <t>Increase Sep 1</t>
  </si>
  <si>
    <t>January</t>
  </si>
  <si>
    <t>Feburary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</si>
</sst>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mmm yyyy"/>
    <numFmt numFmtId="166" formatCode="m/d/yyyy"/>
    <numFmt numFmtId="167" formatCode="&quot;$&quot;#,##0.00"/>
  </numFmts>
  <fonts count="41">
    <font>
      <sz val="10.0"/>
      <color rgb="FF000000"/>
      <name val="Arial"/>
      <scheme val="minor"/>
    </font>
    <font>
      <sz val="8.0"/>
      <color rgb="FF000000"/>
      <name val="Arial"/>
    </font>
    <font>
      <sz val="14.0"/>
      <color rgb="FF000000"/>
      <name val="Arial"/>
    </font>
    <font>
      <sz val="11.0"/>
      <color rgb="FF000000"/>
      <name val="Arial"/>
    </font>
    <font>
      <b/>
      <sz val="16.0"/>
      <color rgb="FF000000"/>
      <name val="Arial"/>
    </font>
    <font>
      <b/>
      <sz val="12.0"/>
      <color rgb="FF000000"/>
      <name val="Arial"/>
    </font>
    <font>
      <b/>
      <sz val="11.0"/>
      <color rgb="FF000000"/>
      <name val="Arial"/>
    </font>
    <font>
      <b/>
      <sz val="9.0"/>
      <color rgb="FFFFFFFF"/>
      <name val="Arial"/>
    </font>
    <font>
      <sz val="12.0"/>
      <color rgb="FF000000"/>
      <name val="Arial"/>
    </font>
    <font>
      <sz val="11.0"/>
      <color rgb="FFFFFFFF"/>
      <name val="Arial"/>
    </font>
    <font>
      <b/>
      <sz val="11.0"/>
      <color rgb="FFFFFFFF"/>
      <name val="Arial"/>
    </font>
    <font>
      <b/>
      <color rgb="FFFFFFFF"/>
      <name val="Arial"/>
    </font>
    <font>
      <color rgb="FF000000"/>
      <name val="Arial"/>
    </font>
    <font>
      <color rgb="FF0000FF"/>
      <name val="Arial"/>
    </font>
    <font>
      <b/>
      <color rgb="FF000000"/>
      <name val="Arial"/>
    </font>
    <font>
      <color rgb="FFFF0000"/>
      <name val="Arial"/>
    </font>
    <font>
      <b/>
      <color rgb="FFFF0000"/>
      <name val="Arial"/>
    </font>
    <font>
      <b/>
      <u/>
      <sz val="11.0"/>
      <color rgb="FF000000"/>
      <name val="Arial"/>
    </font>
    <font>
      <b/>
      <u/>
      <sz val="11.0"/>
      <color rgb="FF000000"/>
      <name val="Arial"/>
    </font>
    <font>
      <u/>
      <sz val="11.0"/>
      <color rgb="FF000000"/>
      <name val="Arial"/>
    </font>
    <font>
      <u/>
      <sz val="12.0"/>
      <color rgb="FF000000"/>
      <name val="Arial"/>
    </font>
    <font>
      <u/>
      <sz val="12.0"/>
      <color rgb="FF000000"/>
      <name val="Arial"/>
    </font>
    <font>
      <b/>
      <u/>
      <sz val="11.0"/>
      <color rgb="FF000000"/>
      <name val="Arial"/>
    </font>
    <font>
      <b/>
      <u/>
      <sz val="12.0"/>
      <color rgb="FF000000"/>
      <name val="Arial"/>
    </font>
    <font>
      <b/>
      <sz val="9.0"/>
      <color theme="1"/>
      <name val="Arial"/>
    </font>
    <font>
      <color theme="1"/>
      <name val="Arial"/>
    </font>
    <font>
      <sz val="9.0"/>
      <color rgb="FF000000"/>
      <name val="Arial"/>
    </font>
    <font>
      <color theme="1"/>
      <name val="Arial"/>
      <scheme val="minor"/>
    </font>
    <font>
      <b/>
      <sz val="22.0"/>
      <color rgb="FFFFFFFF"/>
      <name val="Arial"/>
    </font>
    <font>
      <b/>
      <sz val="9.0"/>
      <color rgb="FF000000"/>
      <name val="Arial"/>
    </font>
    <font>
      <b/>
      <sz val="23.0"/>
      <color rgb="FF000000"/>
      <name val="Arial"/>
    </font>
    <font>
      <b/>
      <sz val="24.0"/>
      <color rgb="FF000000"/>
      <name val="Arial"/>
    </font>
    <font>
      <b/>
      <sz val="11.0"/>
      <color theme="1"/>
      <name val="Arial"/>
      <scheme val="minor"/>
    </font>
    <font>
      <i/>
      <sz val="9.0"/>
      <color rgb="FF000000"/>
      <name val="Arial"/>
    </font>
    <font>
      <i/>
      <sz val="9.0"/>
      <color theme="1"/>
      <name val="Arial"/>
    </font>
    <font>
      <b/>
      <i/>
      <sz val="9.0"/>
      <color rgb="FF000000"/>
      <name val="Arial"/>
    </font>
    <font>
      <strike/>
      <sz val="9.0"/>
      <color rgb="FF000000"/>
      <name val="Arial"/>
    </font>
    <font>
      <b/>
      <color theme="1"/>
      <name val="Arial"/>
      <scheme val="minor"/>
    </font>
    <font>
      <sz val="9.0"/>
      <color rgb="FF9C0006"/>
      <name val="Arial"/>
    </font>
    <font>
      <sz val="9.0"/>
      <color rgb="FFFFFFFF"/>
      <name val="Arial"/>
    </font>
    <font>
      <i/>
      <sz val="9.0"/>
      <color rgb="FFD8D8D8"/>
      <name val="Arial"/>
    </font>
  </fonts>
  <fills count="15">
    <fill>
      <patternFill patternType="none"/>
    </fill>
    <fill>
      <patternFill patternType="lightGray"/>
    </fill>
    <fill>
      <patternFill patternType="solid">
        <fgColor rgb="FFCC0000"/>
        <bgColor rgb="FFCC0000"/>
      </patternFill>
    </fill>
    <fill>
      <patternFill patternType="solid">
        <fgColor rgb="FF002060"/>
        <bgColor rgb="FF002060"/>
      </patternFill>
    </fill>
    <fill>
      <patternFill patternType="solid">
        <fgColor rgb="FFDEEAF6"/>
        <bgColor rgb="FFDEEAF6"/>
      </patternFill>
    </fill>
    <fill>
      <patternFill patternType="solid">
        <fgColor rgb="FFFFFF00"/>
        <bgColor rgb="FFFFFF00"/>
      </patternFill>
    </fill>
    <fill>
      <patternFill patternType="solid">
        <fgColor rgb="FFB7B7B7"/>
        <bgColor rgb="FFB7B7B7"/>
      </patternFill>
    </fill>
    <fill>
      <patternFill patternType="solid">
        <fgColor rgb="FFBDD6EE"/>
        <bgColor rgb="FFBDD6EE"/>
      </patternFill>
    </fill>
    <fill>
      <patternFill patternType="solid">
        <fgColor rgb="FFFF0000"/>
        <bgColor rgb="FFFF0000"/>
      </patternFill>
    </fill>
    <fill>
      <patternFill patternType="solid">
        <fgColor rgb="FFF1C232"/>
        <bgColor rgb="FFF1C232"/>
      </patternFill>
    </fill>
    <fill>
      <patternFill patternType="solid">
        <fgColor rgb="FFCCCCCC"/>
        <bgColor rgb="FFCCCCCC"/>
      </patternFill>
    </fill>
    <fill>
      <patternFill patternType="solid">
        <fgColor rgb="FFEA9999"/>
        <bgColor rgb="FFEA9999"/>
      </patternFill>
    </fill>
    <fill>
      <patternFill patternType="solid">
        <fgColor rgb="FFB6D7A8"/>
        <bgColor rgb="FFB6D7A8"/>
      </patternFill>
    </fill>
    <fill>
      <patternFill patternType="solid">
        <fgColor rgb="FFFFFFFF"/>
        <bgColor rgb="FFFFFFFF"/>
      </patternFill>
    </fill>
    <fill>
      <patternFill patternType="solid">
        <fgColor rgb="FFC9DAF8"/>
        <bgColor rgb="FFC9DAF8"/>
      </patternFill>
    </fill>
  </fills>
  <borders count="1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D0CECE"/>
      </top>
      <bottom style="thin">
        <color rgb="FFD0CECE"/>
      </bottom>
    </border>
    <border>
      <right style="thin">
        <color rgb="FF000000"/>
      </right>
      <top style="thin">
        <color rgb="FFD0CECE"/>
      </top>
      <bottom style="thin">
        <color rgb="FFD0CECE"/>
      </bottom>
    </border>
    <border>
      <left style="thin">
        <color rgb="FF000000"/>
      </left>
      <right style="thin">
        <color rgb="FF000000"/>
      </right>
      <bottom style="thin">
        <color rgb="FFD0CECE"/>
      </bottom>
    </border>
    <border>
      <right style="thin">
        <color rgb="FF000000"/>
      </right>
      <bottom style="thin">
        <color rgb="FFD0CECE"/>
      </bottom>
    </border>
    <border>
      <left style="thin">
        <color rgb="FF000000"/>
      </left>
      <bottom style="thin">
        <color rgb="FFD0CECE"/>
      </bottom>
    </border>
    <border>
      <top style="thin">
        <color rgb="FF000000"/>
      </top>
      <bottom style="thin">
        <color rgb="FF000000"/>
      </bottom>
    </border>
    <border>
      <top style="thin">
        <color rgb="FFD0CECE"/>
      </top>
      <bottom style="thin">
        <color rgb="FFD0CECE"/>
      </bottom>
    </border>
    <border>
      <left style="thin">
        <color rgb="FF000000"/>
      </left>
      <right style="thin">
        <color rgb="FF000000"/>
      </right>
    </border>
    <border>
      <left style="thin">
        <color rgb="FF000000"/>
      </left>
      <right style="thin">
        <color rgb="FF000000"/>
      </right>
      <top style="thin">
        <color rgb="FFD0CECE"/>
      </top>
    </border>
    <border>
      <left style="thin">
        <color rgb="FF000000"/>
      </left>
      <right style="thin">
        <color rgb="FF000000"/>
      </right>
      <top style="thin">
        <color rgb="FFD0CECE"/>
      </top>
      <bottom style="thin">
        <color rgb="FF000000"/>
      </bottom>
    </border>
    <border>
      <right style="thin">
        <color rgb="FF000000"/>
      </right>
      <bottom style="thin">
        <color rgb="FF000000"/>
      </bottom>
    </border>
    <border>
      <right style="thin">
        <color rgb="FF000000"/>
      </right>
      <top style="thin">
        <color rgb="FFD0CECE"/>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right" readingOrder="0" shrinkToFit="0" vertical="bottom"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4" numFmtId="0" xfId="0" applyAlignment="1" applyFont="1">
      <alignment horizontal="center" readingOrder="0" shrinkToFit="0" vertical="bottom" wrapText="0"/>
    </xf>
    <xf borderId="0" fillId="0" fontId="5" numFmtId="0" xfId="0" applyAlignment="1" applyFont="1">
      <alignment shrinkToFit="0" vertical="bottom" wrapText="0"/>
    </xf>
    <xf borderId="0" fillId="0" fontId="6" numFmtId="0" xfId="0" applyAlignment="1" applyFont="1">
      <alignment horizontal="right" shrinkToFit="0" vertical="bottom" wrapText="0"/>
    </xf>
    <xf borderId="0" fillId="0" fontId="6" numFmtId="0" xfId="0" applyAlignment="1" applyFont="1">
      <alignment shrinkToFit="0" vertical="bottom" wrapText="0"/>
    </xf>
    <xf borderId="1" fillId="2" fontId="7" numFmtId="164" xfId="0" applyAlignment="1" applyBorder="1" applyFill="1" applyFont="1" applyNumberFormat="1">
      <alignment horizontal="center"/>
    </xf>
    <xf borderId="0" fillId="0" fontId="8" numFmtId="0" xfId="0" applyAlignment="1" applyFont="1">
      <alignment shrinkToFit="0" vertical="bottom" wrapText="0"/>
    </xf>
    <xf borderId="1" fillId="2" fontId="9" numFmtId="0" xfId="0" applyAlignment="1" applyBorder="1" applyFont="1">
      <alignment horizontal="center" shrinkToFit="0" wrapText="0"/>
    </xf>
    <xf borderId="1" fillId="2" fontId="7" numFmtId="165" xfId="0" applyAlignment="1" applyBorder="1" applyFont="1" applyNumberFormat="1">
      <alignment horizontal="center"/>
    </xf>
    <xf borderId="2" fillId="2" fontId="10" numFmtId="0" xfId="0" applyAlignment="1" applyBorder="1" applyFont="1">
      <alignment horizontal="center" readingOrder="0" shrinkToFit="0" wrapText="0"/>
    </xf>
    <xf borderId="0" fillId="0" fontId="8" numFmtId="0" xfId="0" applyAlignment="1" applyFont="1">
      <alignment horizontal="center" shrinkToFit="0" wrapText="0"/>
    </xf>
    <xf borderId="0" fillId="3" fontId="11" numFmtId="166" xfId="0" applyAlignment="1" applyFill="1" applyFont="1" applyNumberFormat="1">
      <alignment horizontal="center" readingOrder="0"/>
    </xf>
    <xf borderId="0" fillId="0" fontId="12" numFmtId="0" xfId="0" applyAlignment="1" applyFont="1">
      <alignment horizontal="center" shrinkToFit="0" wrapText="0"/>
    </xf>
    <xf borderId="3" fillId="0" fontId="3" numFmtId="0" xfId="0" applyAlignment="1" applyBorder="1" applyFont="1">
      <alignment horizontal="left" readingOrder="0" shrinkToFit="0" wrapText="0"/>
    </xf>
    <xf borderId="4" fillId="0" fontId="3" numFmtId="0" xfId="0" applyAlignment="1" applyBorder="1" applyFont="1">
      <alignment horizontal="center" readingOrder="0" shrinkToFit="0" wrapText="0"/>
    </xf>
    <xf borderId="0" fillId="0" fontId="8" numFmtId="0" xfId="0" applyAlignment="1" applyFont="1">
      <alignment shrinkToFit="0" wrapText="0"/>
    </xf>
    <xf borderId="3" fillId="4" fontId="12" numFmtId="0" xfId="0" applyAlignment="1" applyBorder="1" applyFill="1" applyFont="1">
      <alignment horizontal="left" shrinkToFit="0" wrapText="0"/>
    </xf>
    <xf borderId="4" fillId="4" fontId="12" numFmtId="0" xfId="0" applyAlignment="1" applyBorder="1" applyFont="1">
      <alignment horizontal="left" shrinkToFit="0" wrapText="0"/>
    </xf>
    <xf borderId="0" fillId="0" fontId="12" numFmtId="0" xfId="0" applyAlignment="1" applyFont="1">
      <alignment horizontal="center" shrinkToFit="0" vertical="bottom" wrapText="0"/>
    </xf>
    <xf borderId="0" fillId="0" fontId="13" numFmtId="0" xfId="0" applyAlignment="1" applyFont="1">
      <alignment shrinkToFit="0" wrapText="0"/>
    </xf>
    <xf borderId="5" fillId="0" fontId="6" numFmtId="0" xfId="0" applyAlignment="1" applyBorder="1" applyFont="1">
      <alignment horizontal="left" shrinkToFit="0" wrapText="0"/>
    </xf>
    <xf borderId="6" fillId="0" fontId="3" numFmtId="0" xfId="0" applyAlignment="1" applyBorder="1" applyFont="1">
      <alignment shrinkToFit="0" wrapText="0"/>
    </xf>
    <xf borderId="7" fillId="4" fontId="12" numFmtId="0" xfId="0" applyAlignment="1" applyBorder="1" applyFont="1">
      <alignment horizontal="right" shrinkToFit="0" wrapText="0"/>
    </xf>
    <xf borderId="5" fillId="4" fontId="12" numFmtId="0" xfId="0" applyAlignment="1" applyBorder="1" applyFont="1">
      <alignment horizontal="left" shrinkToFit="0" wrapText="0"/>
    </xf>
    <xf borderId="6" fillId="4" fontId="12" numFmtId="0" xfId="0" applyAlignment="1" applyBorder="1" applyFont="1">
      <alignment horizontal="left" shrinkToFit="0" wrapText="0"/>
    </xf>
    <xf borderId="0" fillId="0" fontId="12" numFmtId="0" xfId="0" applyAlignment="1" applyFont="1">
      <alignment horizontal="center" readingOrder="0" shrinkToFit="0" vertical="bottom" wrapText="0"/>
    </xf>
    <xf borderId="0" fillId="0" fontId="12" numFmtId="0" xfId="0" applyAlignment="1" applyFont="1">
      <alignment shrinkToFit="0" wrapText="0"/>
    </xf>
    <xf borderId="5" fillId="0" fontId="6" numFmtId="0" xfId="0" applyAlignment="1" applyBorder="1" applyFont="1">
      <alignment horizontal="left" readingOrder="0" shrinkToFit="0" wrapText="0"/>
    </xf>
    <xf borderId="6" fillId="0" fontId="6" numFmtId="167" xfId="0" applyAlignment="1" applyBorder="1" applyFont="1" applyNumberFormat="1">
      <alignment readingOrder="0" shrinkToFit="0" wrapText="0"/>
    </xf>
    <xf borderId="6" fillId="0" fontId="6" numFmtId="0" xfId="0" applyAlignment="1" applyBorder="1" applyFont="1">
      <alignment shrinkToFit="0" wrapText="0"/>
    </xf>
    <xf borderId="5" fillId="4" fontId="14" numFmtId="167" xfId="0" applyAlignment="1" applyBorder="1" applyFont="1" applyNumberFormat="1">
      <alignment horizontal="left" readingOrder="0" shrinkToFit="0" wrapText="0"/>
    </xf>
    <xf borderId="6" fillId="4" fontId="14" numFmtId="167" xfId="0" applyAlignment="1" applyBorder="1" applyFont="1" applyNumberFormat="1">
      <alignment horizontal="left" readingOrder="0" shrinkToFit="0" wrapText="0"/>
    </xf>
    <xf borderId="0" fillId="0" fontId="12" numFmtId="0" xfId="0" applyAlignment="1" applyFont="1">
      <alignment horizontal="center" readingOrder="0" shrinkToFit="0" wrapText="0"/>
    </xf>
    <xf borderId="0" fillId="0" fontId="15" numFmtId="0" xfId="0" applyAlignment="1" applyFont="1">
      <alignment shrinkToFit="0" wrapText="0"/>
    </xf>
    <xf borderId="5" fillId="0" fontId="3" numFmtId="0" xfId="0" applyAlignment="1" applyBorder="1" applyFont="1">
      <alignment horizontal="left" readingOrder="0" shrinkToFit="0" vertical="bottom" wrapText="0"/>
    </xf>
    <xf borderId="6" fillId="0" fontId="3" numFmtId="167" xfId="0" applyAlignment="1" applyBorder="1" applyFont="1" applyNumberFormat="1">
      <alignment readingOrder="0" shrinkToFit="0" wrapText="0"/>
    </xf>
    <xf borderId="7" fillId="4" fontId="14" numFmtId="0" xfId="0" applyAlignment="1" applyBorder="1" applyFont="1">
      <alignment horizontal="left" shrinkToFit="0" wrapText="0"/>
    </xf>
    <xf borderId="5" fillId="4" fontId="14" numFmtId="0" xfId="0" applyAlignment="1" applyBorder="1" applyFont="1">
      <alignment horizontal="left" shrinkToFit="0" wrapText="0"/>
    </xf>
    <xf borderId="6" fillId="4" fontId="14" numFmtId="0" xfId="0" applyAlignment="1" applyBorder="1" applyFont="1">
      <alignment horizontal="left" shrinkToFit="0" wrapText="0"/>
    </xf>
    <xf borderId="6" fillId="4" fontId="16" numFmtId="0" xfId="0" applyAlignment="1" applyBorder="1" applyFont="1">
      <alignment horizontal="left" shrinkToFit="0" wrapText="0"/>
    </xf>
    <xf borderId="5" fillId="0" fontId="6" numFmtId="0" xfId="0" applyAlignment="1" applyBorder="1" applyFont="1">
      <alignment horizontal="left" readingOrder="0" shrinkToFit="0" vertical="bottom" wrapText="0"/>
    </xf>
    <xf borderId="6" fillId="0" fontId="17" numFmtId="167" xfId="0" applyAlignment="1" applyBorder="1" applyFont="1" applyNumberFormat="1">
      <alignment horizontal="center" readingOrder="0" shrinkToFit="0" vertical="bottom" wrapText="0"/>
    </xf>
    <xf borderId="6" fillId="0" fontId="18" numFmtId="167" xfId="0" applyAlignment="1" applyBorder="1" applyFont="1" applyNumberFormat="1">
      <alignment horizontal="right" readingOrder="0" shrinkToFit="0" vertical="bottom" wrapText="0"/>
    </xf>
    <xf borderId="0" fillId="0" fontId="8" numFmtId="0" xfId="0" applyAlignment="1" applyFont="1">
      <alignment horizontal="left" shrinkToFit="0" vertical="bottom" wrapText="0"/>
    </xf>
    <xf borderId="8" fillId="0" fontId="14" numFmtId="0" xfId="0" applyAlignment="1" applyBorder="1" applyFont="1">
      <alignment horizontal="center" readingOrder="0" shrinkToFit="0" vertical="bottom" wrapText="0"/>
    </xf>
    <xf borderId="0" fillId="0" fontId="12" numFmtId="0" xfId="0" applyAlignment="1" applyFont="1">
      <alignment horizontal="left" shrinkToFit="0" vertical="bottom" wrapText="0"/>
    </xf>
    <xf borderId="5" fillId="0" fontId="3" numFmtId="0" xfId="0" applyAlignment="1" applyBorder="1" applyFont="1">
      <alignment horizontal="left" shrinkToFit="0" vertical="bottom" wrapText="0"/>
    </xf>
    <xf borderId="6" fillId="0" fontId="3" numFmtId="0" xfId="0" applyAlignment="1" applyBorder="1" applyFont="1">
      <alignment horizontal="left" shrinkToFit="0" vertical="bottom" wrapText="0"/>
    </xf>
    <xf borderId="7" fillId="4" fontId="12" numFmtId="0" xfId="0" applyAlignment="1" applyBorder="1" applyFont="1">
      <alignment horizontal="left" shrinkToFit="0" vertical="bottom" wrapText="0"/>
    </xf>
    <xf borderId="5" fillId="0" fontId="3" numFmtId="0" xfId="0" applyAlignment="1" applyBorder="1" applyFont="1">
      <alignment horizontal="left" readingOrder="0" shrinkToFit="0" wrapText="0"/>
    </xf>
    <xf borderId="6" fillId="0" fontId="3" numFmtId="167" xfId="0" applyAlignment="1" applyBorder="1" applyFont="1" applyNumberFormat="1">
      <alignment readingOrder="0" shrinkToFit="0" wrapText="0"/>
    </xf>
    <xf borderId="6" fillId="4" fontId="12" numFmtId="167" xfId="0" applyAlignment="1" applyBorder="1" applyFont="1" applyNumberFormat="1">
      <alignment horizontal="left" readingOrder="0" shrinkToFit="0" wrapText="0"/>
    </xf>
    <xf borderId="5" fillId="4" fontId="12" numFmtId="167" xfId="0" applyAlignment="1" applyBorder="1" applyFont="1" applyNumberFormat="1">
      <alignment horizontal="left" readingOrder="0" shrinkToFit="0" wrapText="0"/>
    </xf>
    <xf borderId="5" fillId="4" fontId="14" numFmtId="0" xfId="0" applyAlignment="1" applyBorder="1" applyFont="1">
      <alignment horizontal="center" readingOrder="0" shrinkToFit="0" wrapText="0"/>
    </xf>
    <xf borderId="6" fillId="4" fontId="14" numFmtId="0" xfId="0" applyAlignment="1" applyBorder="1" applyFont="1">
      <alignment horizontal="center" shrinkToFit="0" wrapText="0"/>
    </xf>
    <xf borderId="6" fillId="4" fontId="14" numFmtId="0" xfId="0" applyAlignment="1" applyBorder="1" applyFont="1">
      <alignment horizontal="center" readingOrder="0" shrinkToFit="0" wrapText="0"/>
    </xf>
    <xf borderId="0" fillId="5" fontId="12" numFmtId="0" xfId="0" applyAlignment="1" applyFill="1" applyFont="1">
      <alignment horizontal="center" readingOrder="0" shrinkToFit="0" vertical="bottom" wrapText="0"/>
    </xf>
    <xf borderId="5" fillId="0" fontId="3" numFmtId="0" xfId="0" applyAlignment="1" applyBorder="1" applyFont="1">
      <alignment horizontal="left" shrinkToFit="0" wrapText="0"/>
    </xf>
    <xf borderId="7" fillId="4" fontId="12" numFmtId="0" xfId="0" applyAlignment="1" applyBorder="1" applyFont="1">
      <alignment horizontal="center" shrinkToFit="0" wrapText="0"/>
    </xf>
    <xf borderId="0" fillId="0" fontId="12" numFmtId="0" xfId="0" applyAlignment="1" applyFont="1">
      <alignment horizontal="left" shrinkToFit="0" wrapText="0"/>
    </xf>
    <xf borderId="6" fillId="0" fontId="19" numFmtId="4" xfId="0" applyAlignment="1" applyBorder="1" applyFont="1" applyNumberFormat="1">
      <alignment readingOrder="0" shrinkToFit="0" wrapText="0"/>
    </xf>
    <xf borderId="5" fillId="4" fontId="13" numFmtId="10" xfId="0" applyAlignment="1" applyBorder="1" applyFont="1" applyNumberFormat="1">
      <alignment horizontal="center" readingOrder="0" shrinkToFit="0" wrapText="0"/>
    </xf>
    <xf borderId="6" fillId="4" fontId="13" numFmtId="0" xfId="0" applyAlignment="1" applyBorder="1" applyFont="1">
      <alignment horizontal="center" shrinkToFit="0" wrapText="0"/>
    </xf>
    <xf borderId="6" fillId="4" fontId="13" numFmtId="10" xfId="0" applyAlignment="1" applyBorder="1" applyFont="1" applyNumberFormat="1">
      <alignment horizontal="center" readingOrder="0" shrinkToFit="0" wrapText="0"/>
    </xf>
    <xf borderId="6" fillId="0" fontId="3" numFmtId="4" xfId="0" applyAlignment="1" applyBorder="1" applyFont="1" applyNumberFormat="1">
      <alignment readingOrder="0" shrinkToFit="0" wrapText="0"/>
    </xf>
    <xf borderId="5" fillId="4" fontId="13" numFmtId="0" xfId="0" applyAlignment="1" applyBorder="1" applyFont="1">
      <alignment horizontal="right" shrinkToFit="0" wrapText="0"/>
    </xf>
    <xf borderId="6" fillId="4" fontId="13" numFmtId="0" xfId="0" applyAlignment="1" applyBorder="1" applyFont="1">
      <alignment horizontal="right" shrinkToFit="0" wrapText="0"/>
    </xf>
    <xf borderId="9" fillId="0" fontId="20" numFmtId="0" xfId="0" applyAlignment="1" applyBorder="1" applyFont="1">
      <alignment horizontal="center" readingOrder="0" shrinkToFit="0" wrapText="0"/>
    </xf>
    <xf borderId="10" fillId="0" fontId="3" numFmtId="0" xfId="0" applyAlignment="1" applyBorder="1" applyFont="1">
      <alignment horizontal="left" readingOrder="0" shrinkToFit="0" wrapText="0"/>
    </xf>
    <xf borderId="0" fillId="0" fontId="21" numFmtId="0" xfId="0" applyAlignment="1" applyFont="1">
      <alignment shrinkToFit="0" wrapText="0"/>
    </xf>
    <xf borderId="10" fillId="4" fontId="13" numFmtId="0" xfId="0" applyAlignment="1" applyBorder="1" applyFont="1">
      <alignment horizontal="right" shrinkToFit="0" wrapText="0"/>
    </xf>
    <xf borderId="11" fillId="0" fontId="3" numFmtId="0" xfId="0" applyAlignment="1" applyBorder="1" applyFont="1">
      <alignment horizontal="left" readingOrder="0" shrinkToFit="0" wrapText="0"/>
    </xf>
    <xf borderId="3" fillId="4" fontId="13" numFmtId="10" xfId="0" applyAlignment="1" applyBorder="1" applyFont="1" applyNumberFormat="1">
      <alignment horizontal="center" readingOrder="0" shrinkToFit="0" wrapText="0"/>
    </xf>
    <xf borderId="0" fillId="0" fontId="12" numFmtId="0" xfId="0" applyAlignment="1" applyFont="1">
      <alignment horizontal="left" readingOrder="0" shrinkToFit="0" wrapText="0"/>
    </xf>
    <xf borderId="12" fillId="6" fontId="6" numFmtId="0" xfId="0" applyAlignment="1" applyBorder="1" applyFill="1" applyFont="1">
      <alignment horizontal="left" readingOrder="0" shrinkToFit="0" wrapText="0"/>
    </xf>
    <xf borderId="13" fillId="6" fontId="22" numFmtId="4" xfId="0" applyAlignment="1" applyBorder="1" applyFont="1" applyNumberFormat="1">
      <alignment readingOrder="0" shrinkToFit="0" wrapText="0"/>
    </xf>
    <xf borderId="6" fillId="6" fontId="3" numFmtId="167" xfId="0" applyAlignment="1" applyBorder="1" applyFont="1" applyNumberFormat="1">
      <alignment readingOrder="0" shrinkToFit="0" wrapText="0"/>
    </xf>
    <xf borderId="14" fillId="7" fontId="23" numFmtId="0" xfId="0" applyAlignment="1" applyBorder="1" applyFill="1" applyFont="1">
      <alignment horizontal="center" readingOrder="0" shrinkToFit="0" wrapText="0"/>
    </xf>
    <xf borderId="13" fillId="4" fontId="12" numFmtId="0" xfId="0" applyAlignment="1" applyBorder="1" applyFont="1">
      <alignment horizontal="right" shrinkToFit="0" wrapText="0"/>
    </xf>
    <xf borderId="13" fillId="4" fontId="12" numFmtId="0" xfId="0" applyAlignment="1" applyBorder="1" applyFont="1">
      <alignment shrinkToFit="0" wrapText="0"/>
    </xf>
    <xf borderId="0" fillId="0" fontId="24" numFmtId="0" xfId="0" applyAlignment="1" applyFont="1">
      <alignment vertical="bottom"/>
    </xf>
    <xf borderId="0" fillId="0" fontId="25" numFmtId="0" xfId="0" applyAlignment="1" applyFont="1">
      <alignment vertical="bottom"/>
    </xf>
    <xf borderId="0" fillId="0" fontId="12" numFmtId="0" xfId="0" applyAlignment="1" applyFont="1">
      <alignment shrinkToFit="0" vertical="bottom" wrapText="0"/>
    </xf>
    <xf borderId="0" fillId="0" fontId="25" numFmtId="0" xfId="0" applyAlignment="1" applyFont="1">
      <alignment shrinkToFit="0" vertical="bottom" wrapText="1"/>
    </xf>
    <xf borderId="0" fillId="0" fontId="3" numFmtId="0" xfId="0" applyAlignment="1" applyFont="1">
      <alignment horizontal="center" shrinkToFit="0" vertical="bottom" wrapText="0"/>
    </xf>
    <xf borderId="0" fillId="0" fontId="25" numFmtId="0" xfId="0" applyAlignment="1" applyFont="1">
      <alignment vertical="bottom"/>
    </xf>
    <xf borderId="0" fillId="0" fontId="26" numFmtId="0" xfId="0" applyAlignment="1" applyFont="1">
      <alignment readingOrder="0" shrinkToFit="0" vertical="bottom" wrapText="0"/>
    </xf>
    <xf borderId="0" fillId="0" fontId="26" numFmtId="0" xfId="0" applyAlignment="1" applyFont="1">
      <alignment shrinkToFit="0" vertical="bottom" wrapText="0"/>
    </xf>
    <xf borderId="0" fillId="0" fontId="27" numFmtId="0" xfId="0" applyFont="1"/>
    <xf borderId="0" fillId="0" fontId="27" numFmtId="167" xfId="0" applyFont="1" applyNumberFormat="1"/>
    <xf borderId="0" fillId="0" fontId="27" numFmtId="0" xfId="0" applyAlignment="1" applyFont="1">
      <alignment readingOrder="0"/>
    </xf>
    <xf borderId="0" fillId="8" fontId="28" numFmtId="0" xfId="0" applyAlignment="1" applyFill="1" applyFont="1">
      <alignment horizontal="center" readingOrder="0"/>
    </xf>
    <xf borderId="0" fillId="0" fontId="26" numFmtId="0" xfId="0" applyAlignment="1" applyFont="1">
      <alignment horizontal="center" shrinkToFit="0" vertical="top" wrapText="0"/>
    </xf>
    <xf borderId="0" fillId="0" fontId="26" numFmtId="0" xfId="0" applyAlignment="1" applyFont="1">
      <alignment horizontal="right" shrinkToFit="0" vertical="top" wrapText="0"/>
    </xf>
    <xf borderId="0" fillId="0" fontId="26" numFmtId="0" xfId="0" applyAlignment="1" applyFont="1">
      <alignment horizontal="left" shrinkToFit="0" vertical="top" wrapText="0"/>
    </xf>
    <xf borderId="0" fillId="0" fontId="29" numFmtId="165" xfId="0" applyAlignment="1" applyFont="1" applyNumberFormat="1">
      <alignment horizontal="center" readingOrder="0"/>
    </xf>
    <xf borderId="0" fillId="0" fontId="30" numFmtId="0" xfId="0" applyAlignment="1" applyFont="1">
      <alignment horizontal="center" readingOrder="0"/>
    </xf>
    <xf borderId="0" fillId="0" fontId="31" numFmtId="0" xfId="0" applyAlignment="1" applyFont="1">
      <alignment horizontal="center" readingOrder="0"/>
    </xf>
    <xf borderId="0" fillId="0" fontId="29" numFmtId="164" xfId="0" applyAlignment="1" applyFont="1" applyNumberFormat="1">
      <alignment horizontal="center" readingOrder="0"/>
    </xf>
    <xf borderId="0" fillId="0" fontId="29" numFmtId="0" xfId="0" applyAlignment="1" applyFont="1">
      <alignment horizontal="center" readingOrder="0"/>
    </xf>
    <xf borderId="0" fillId="9" fontId="29" numFmtId="0" xfId="0" applyAlignment="1" applyFill="1" applyFont="1">
      <alignment horizontal="center" readingOrder="0"/>
    </xf>
    <xf borderId="0" fillId="10" fontId="24" numFmtId="0" xfId="0" applyAlignment="1" applyFill="1" applyFont="1">
      <alignment horizontal="center"/>
    </xf>
    <xf borderId="0" fillId="0" fontId="6" numFmtId="0" xfId="0" applyAlignment="1" applyFont="1">
      <alignment horizontal="center" readingOrder="0" shrinkToFit="0" vertical="top" wrapText="0"/>
    </xf>
    <xf borderId="0" fillId="0" fontId="29" numFmtId="0" xfId="0" applyAlignment="1" applyFont="1">
      <alignment horizontal="left" readingOrder="0" shrinkToFit="0" vertical="top" wrapText="0"/>
    </xf>
    <xf borderId="0" fillId="0" fontId="29" numFmtId="0" xfId="0" applyAlignment="1" applyFont="1">
      <alignment horizontal="right" readingOrder="0" shrinkToFit="0" vertical="top" wrapText="0"/>
    </xf>
    <xf borderId="0" fillId="0" fontId="29" numFmtId="0" xfId="0" applyAlignment="1" applyFont="1">
      <alignment horizontal="center" readingOrder="0" shrinkToFit="0" vertical="top" wrapText="0"/>
    </xf>
    <xf borderId="0" fillId="5" fontId="24" numFmtId="0" xfId="0" applyAlignment="1" applyFont="1">
      <alignment horizontal="center" vertical="top"/>
    </xf>
    <xf borderId="0" fillId="5" fontId="24" numFmtId="0" xfId="0" applyAlignment="1" applyFont="1">
      <alignment horizontal="center" readingOrder="0" vertical="top"/>
    </xf>
    <xf borderId="0" fillId="0" fontId="6" numFmtId="0" xfId="0" applyAlignment="1" applyFont="1">
      <alignment horizontal="right" readingOrder="0" shrinkToFit="0" vertical="top" wrapText="0"/>
    </xf>
    <xf borderId="0" fillId="11" fontId="3" numFmtId="0" xfId="0" applyAlignment="1" applyFill="1" applyFont="1">
      <alignment horizontal="center" shrinkToFit="0" wrapText="0"/>
    </xf>
    <xf borderId="0" fillId="0" fontId="26" numFmtId="0" xfId="0" applyAlignment="1" applyFont="1">
      <alignment horizontal="left" shrinkToFit="0" wrapText="0"/>
    </xf>
    <xf borderId="0" fillId="5" fontId="29" numFmtId="167" xfId="0" applyAlignment="1" applyFont="1" applyNumberFormat="1">
      <alignment horizontal="center" readingOrder="0" shrinkToFit="0" vertical="top" wrapText="0"/>
    </xf>
    <xf borderId="0" fillId="0" fontId="27" numFmtId="167" xfId="0" applyAlignment="1" applyFont="1" applyNumberFormat="1">
      <alignment readingOrder="0"/>
    </xf>
    <xf borderId="0" fillId="0" fontId="29" numFmtId="167" xfId="0" applyAlignment="1" applyFont="1" applyNumberFormat="1">
      <alignment horizontal="center" readingOrder="0" shrinkToFit="0" vertical="top" wrapText="0"/>
    </xf>
    <xf borderId="0" fillId="0" fontId="29" numFmtId="167" xfId="0" applyAlignment="1" applyFont="1" applyNumberFormat="1">
      <alignment horizontal="left" readingOrder="0" shrinkToFit="0" vertical="top" wrapText="0"/>
    </xf>
    <xf borderId="15" fillId="0" fontId="29" numFmtId="167" xfId="0" applyAlignment="1" applyBorder="1" applyFont="1" applyNumberFormat="1">
      <alignment horizontal="right" readingOrder="0" shrinkToFit="0" vertical="top" wrapText="0"/>
    </xf>
    <xf borderId="16" fillId="0" fontId="27" numFmtId="0" xfId="0" applyBorder="1" applyFont="1"/>
    <xf borderId="16" fillId="12" fontId="29" numFmtId="167" xfId="0" applyAlignment="1" applyBorder="1" applyFill="1" applyFont="1" applyNumberFormat="1">
      <alignment horizontal="center" readingOrder="0" shrinkToFit="0" vertical="top" wrapText="0"/>
    </xf>
    <xf borderId="17" fillId="12" fontId="29" numFmtId="167" xfId="0" applyAlignment="1" applyBorder="1" applyFont="1" applyNumberFormat="1">
      <alignment horizontal="center" readingOrder="0" shrinkToFit="0" vertical="top" wrapText="0"/>
    </xf>
    <xf borderId="0" fillId="0" fontId="32" numFmtId="0" xfId="0" applyAlignment="1" applyFont="1">
      <alignment horizontal="right" readingOrder="0"/>
    </xf>
    <xf borderId="0" fillId="11" fontId="3" numFmtId="167" xfId="0" applyAlignment="1" applyFont="1" applyNumberFormat="1">
      <alignment horizontal="center" shrinkToFit="0" wrapText="0"/>
    </xf>
    <xf borderId="0" fillId="0" fontId="29" numFmtId="0" xfId="0" applyAlignment="1" applyFont="1">
      <alignment horizontal="left" shrinkToFit="0" vertical="top" wrapText="0"/>
    </xf>
    <xf borderId="0" fillId="0" fontId="27" numFmtId="0" xfId="0" applyAlignment="1" applyFont="1">
      <alignment horizontal="center"/>
    </xf>
    <xf borderId="0" fillId="0" fontId="29" numFmtId="10" xfId="0" applyAlignment="1" applyFont="1" applyNumberFormat="1">
      <alignment horizontal="center" readingOrder="0" shrinkToFit="0" vertical="top" wrapText="0"/>
    </xf>
    <xf borderId="0" fillId="0" fontId="29" numFmtId="0" xfId="0" applyAlignment="1" applyFont="1">
      <alignment horizontal="center" shrinkToFit="0" vertical="top" wrapText="0"/>
    </xf>
    <xf borderId="0" fillId="0" fontId="33" numFmtId="0" xfId="0" applyAlignment="1" applyFont="1">
      <alignment horizontal="right" readingOrder="0" shrinkToFit="0" vertical="top" wrapText="0"/>
    </xf>
    <xf borderId="0" fillId="5" fontId="29" numFmtId="10" xfId="0" applyAlignment="1" applyFont="1" applyNumberFormat="1">
      <alignment horizontal="center" readingOrder="0" shrinkToFit="0" vertical="top" wrapText="0"/>
    </xf>
    <xf borderId="0" fillId="0" fontId="29" numFmtId="0" xfId="0" applyAlignment="1" applyFont="1">
      <alignment horizontal="right" shrinkToFit="0" vertical="top" wrapText="0"/>
    </xf>
    <xf borderId="0" fillId="0" fontId="3" numFmtId="0" xfId="0" applyAlignment="1" applyFont="1">
      <alignment horizontal="right" readingOrder="0" shrinkToFit="0" vertical="top" wrapText="0"/>
    </xf>
    <xf borderId="0" fillId="0" fontId="26" numFmtId="167" xfId="0" applyAlignment="1" applyFont="1" applyNumberFormat="1">
      <alignment horizontal="left" readingOrder="0" shrinkToFit="0" vertical="top" wrapText="0"/>
    </xf>
    <xf borderId="0" fillId="0" fontId="29" numFmtId="167" xfId="0" applyAlignment="1" applyFont="1" applyNumberFormat="1">
      <alignment horizontal="right" readingOrder="0" shrinkToFit="0" vertical="top" wrapText="0"/>
    </xf>
    <xf borderId="0" fillId="0" fontId="26" numFmtId="167" xfId="0" applyAlignment="1" applyFont="1" applyNumberFormat="1">
      <alignment horizontal="center" readingOrder="0" shrinkToFit="0" vertical="top" wrapText="0"/>
    </xf>
    <xf borderId="0" fillId="0" fontId="26" numFmtId="0" xfId="0" applyAlignment="1" applyFont="1">
      <alignment horizontal="left" readingOrder="0" shrinkToFit="0" vertical="top" wrapText="0"/>
    </xf>
    <xf borderId="0" fillId="0" fontId="34" numFmtId="167" xfId="0" applyAlignment="1" applyFont="1" applyNumberFormat="1">
      <alignment horizontal="right" vertical="top"/>
    </xf>
    <xf borderId="0" fillId="5" fontId="24" numFmtId="10" xfId="0" applyAlignment="1" applyFont="1" applyNumberFormat="1">
      <alignment horizontal="center" vertical="top"/>
    </xf>
    <xf borderId="0" fillId="0" fontId="3" numFmtId="167" xfId="0" applyAlignment="1" applyFont="1" applyNumberFormat="1">
      <alignment horizontal="right" readingOrder="0" shrinkToFit="0" vertical="top" wrapText="0"/>
    </xf>
    <xf borderId="0" fillId="9" fontId="33" numFmtId="167" xfId="0" applyAlignment="1" applyFont="1" applyNumberFormat="1">
      <alignment horizontal="right" readingOrder="0" shrinkToFit="0" vertical="top" wrapText="0"/>
    </xf>
    <xf borderId="0" fillId="0" fontId="26" numFmtId="0" xfId="0" applyAlignment="1" applyFont="1">
      <alignment horizontal="right" readingOrder="0" shrinkToFit="0" vertical="top" wrapText="0"/>
    </xf>
    <xf borderId="0" fillId="9" fontId="26" numFmtId="10" xfId="0" applyAlignment="1" applyFont="1" applyNumberFormat="1">
      <alignment horizontal="center" readingOrder="0" shrinkToFit="0" vertical="top" wrapText="0"/>
    </xf>
    <xf borderId="0" fillId="0" fontId="26" numFmtId="0" xfId="0" applyAlignment="1" applyFont="1">
      <alignment horizontal="center" readingOrder="0" shrinkToFit="0" vertical="top" wrapText="0"/>
    </xf>
    <xf borderId="0" fillId="0" fontId="6" numFmtId="167" xfId="0" applyAlignment="1" applyFont="1" applyNumberFormat="1">
      <alignment horizontal="right" readingOrder="0" shrinkToFit="0" vertical="top" wrapText="0"/>
    </xf>
    <xf borderId="0" fillId="11" fontId="3" numFmtId="167" xfId="0" applyAlignment="1" applyFont="1" applyNumberFormat="1">
      <alignment horizontal="center" shrinkToFit="0" wrapText="0"/>
    </xf>
    <xf borderId="0" fillId="0" fontId="27" numFmtId="10" xfId="0" applyFont="1" applyNumberFormat="1"/>
    <xf borderId="15" fillId="0" fontId="29" numFmtId="167" xfId="0" applyAlignment="1" applyBorder="1" applyFont="1" applyNumberFormat="1">
      <alignment horizontal="right" readingOrder="0" shrinkToFit="0" vertical="top" wrapText="0"/>
    </xf>
    <xf borderId="16" fillId="0" fontId="26" numFmtId="167" xfId="0" applyAlignment="1" applyBorder="1" applyFont="1" applyNumberFormat="1">
      <alignment horizontal="left" readingOrder="0" shrinkToFit="0" vertical="top" wrapText="0"/>
    </xf>
    <xf borderId="16" fillId="12" fontId="26" numFmtId="167" xfId="0" applyAlignment="1" applyBorder="1" applyFont="1" applyNumberFormat="1">
      <alignment horizontal="center" readingOrder="0" shrinkToFit="0" vertical="top" wrapText="0"/>
    </xf>
    <xf borderId="17" fillId="12" fontId="26" numFmtId="167" xfId="0" applyAlignment="1" applyBorder="1" applyFont="1" applyNumberFormat="1">
      <alignment horizontal="center" readingOrder="0" shrinkToFit="0" vertical="top" wrapText="0"/>
    </xf>
    <xf borderId="0" fillId="11" fontId="3" numFmtId="10" xfId="0" applyAlignment="1" applyFont="1" applyNumberFormat="1">
      <alignment horizontal="center" shrinkToFit="0" wrapText="0"/>
    </xf>
    <xf borderId="0" fillId="0" fontId="26" numFmtId="10" xfId="0" applyAlignment="1" applyFont="1" applyNumberFormat="1">
      <alignment horizontal="center" readingOrder="0" shrinkToFit="0" vertical="top" wrapText="0"/>
    </xf>
    <xf borderId="0" fillId="0" fontId="29" numFmtId="167" xfId="0" applyAlignment="1" applyFont="1" applyNumberFormat="1">
      <alignment horizontal="left" readingOrder="0" shrinkToFit="0" vertical="top" wrapText="0"/>
    </xf>
    <xf borderId="0" fillId="0" fontId="29" numFmtId="167" xfId="0" applyAlignment="1" applyFont="1" applyNumberFormat="1">
      <alignment horizontal="center" readingOrder="0" shrinkToFit="0" vertical="top" wrapText="0"/>
    </xf>
    <xf borderId="0" fillId="5" fontId="26" numFmtId="167" xfId="0" applyAlignment="1" applyFont="1" applyNumberFormat="1">
      <alignment horizontal="center" readingOrder="0" shrinkToFit="0" vertical="top" wrapText="0"/>
    </xf>
    <xf borderId="0" fillId="13" fontId="26" numFmtId="167" xfId="0" applyAlignment="1" applyFill="1" applyFont="1" applyNumberFormat="1">
      <alignment horizontal="center" readingOrder="0" shrinkToFit="0" vertical="top" wrapText="0"/>
    </xf>
    <xf borderId="0" fillId="0" fontId="29" numFmtId="167" xfId="0" applyAlignment="1" applyFont="1" applyNumberFormat="1">
      <alignment horizontal="center" shrinkToFit="0" vertical="top" wrapText="0"/>
    </xf>
    <xf borderId="0" fillId="0" fontId="33" numFmtId="10" xfId="0" applyAlignment="1" applyFont="1" applyNumberFormat="1">
      <alignment horizontal="right" readingOrder="0" shrinkToFit="0" vertical="top" wrapText="0"/>
    </xf>
    <xf borderId="0" fillId="0" fontId="33" numFmtId="10" xfId="0" applyAlignment="1" applyFont="1" applyNumberFormat="1">
      <alignment horizontal="center" readingOrder="0" shrinkToFit="0" vertical="top" wrapText="0"/>
    </xf>
    <xf borderId="0" fillId="0" fontId="35" numFmtId="10" xfId="0" applyAlignment="1" applyFont="1" applyNumberFormat="1">
      <alignment horizontal="right" readingOrder="0" shrinkToFit="0" vertical="top" wrapText="0"/>
    </xf>
    <xf borderId="0" fillId="0" fontId="26" numFmtId="167" xfId="0" applyAlignment="1" applyFont="1" applyNumberFormat="1">
      <alignment horizontal="center" shrinkToFit="0" vertical="top" wrapText="0"/>
    </xf>
    <xf borderId="0" fillId="0" fontId="33" numFmtId="0" xfId="0" applyAlignment="1" applyFont="1">
      <alignment horizontal="left" shrinkToFit="0" vertical="top" wrapText="0"/>
    </xf>
    <xf borderId="0" fillId="0" fontId="26" numFmtId="4" xfId="0" applyAlignment="1" applyFont="1" applyNumberFormat="1">
      <alignment horizontal="right" readingOrder="0" shrinkToFit="0" vertical="top" wrapText="0"/>
    </xf>
    <xf borderId="0" fillId="0" fontId="26" numFmtId="4" xfId="0" applyAlignment="1" applyFont="1" applyNumberFormat="1">
      <alignment horizontal="center" readingOrder="0" shrinkToFit="0" vertical="top" wrapText="0"/>
    </xf>
    <xf borderId="0" fillId="0" fontId="29" numFmtId="4" xfId="0" applyAlignment="1" applyFont="1" applyNumberFormat="1">
      <alignment horizontal="right" readingOrder="0" shrinkToFit="0" vertical="top" wrapText="0"/>
    </xf>
    <xf borderId="0" fillId="9" fontId="26" numFmtId="0" xfId="0" applyAlignment="1" applyFont="1">
      <alignment horizontal="right" readingOrder="0" shrinkToFit="0" vertical="top" wrapText="0"/>
    </xf>
    <xf borderId="0" fillId="9" fontId="26" numFmtId="167" xfId="0" applyAlignment="1" applyFont="1" applyNumberFormat="1">
      <alignment horizontal="center" readingOrder="0" shrinkToFit="0" vertical="top" wrapText="0"/>
    </xf>
    <xf borderId="15" fillId="0" fontId="29" numFmtId="0" xfId="0" applyAlignment="1" applyBorder="1" applyFont="1">
      <alignment horizontal="right" readingOrder="0" shrinkToFit="0" vertical="top" wrapText="0"/>
    </xf>
    <xf borderId="16" fillId="0" fontId="26" numFmtId="0" xfId="0" applyAlignment="1" applyBorder="1" applyFont="1">
      <alignment horizontal="right" readingOrder="0" shrinkToFit="0" vertical="top" wrapText="0"/>
    </xf>
    <xf borderId="16" fillId="12" fontId="26" numFmtId="0" xfId="0" applyAlignment="1" applyBorder="1" applyFont="1">
      <alignment horizontal="center" readingOrder="0" shrinkToFit="0" vertical="top" wrapText="0"/>
    </xf>
    <xf borderId="0" fillId="5" fontId="26" numFmtId="10" xfId="0" applyAlignment="1" applyFont="1" applyNumberFormat="1">
      <alignment horizontal="center" readingOrder="0" shrinkToFit="0" vertical="top" wrapText="0"/>
    </xf>
    <xf borderId="17" fillId="12" fontId="26" numFmtId="0" xfId="0" applyAlignment="1" applyBorder="1" applyFont="1">
      <alignment horizontal="center" readingOrder="0" shrinkToFit="0" vertical="top" wrapText="0"/>
    </xf>
    <xf borderId="0" fillId="0" fontId="36" numFmtId="167" xfId="0" applyAlignment="1" applyFont="1" applyNumberFormat="1">
      <alignment horizontal="right" readingOrder="0" shrinkToFit="0" vertical="top" wrapText="0"/>
    </xf>
    <xf borderId="0" fillId="13" fontId="26" numFmtId="10" xfId="0" applyAlignment="1" applyFont="1" applyNumberFormat="1">
      <alignment horizontal="center" readingOrder="0" shrinkToFit="0" vertical="top" wrapText="0"/>
    </xf>
    <xf borderId="0" fillId="0" fontId="36" numFmtId="0" xfId="0" applyAlignment="1" applyFont="1">
      <alignment horizontal="right" readingOrder="0" shrinkToFit="0" vertical="top" wrapText="0"/>
    </xf>
    <xf borderId="0" fillId="0" fontId="37" numFmtId="0" xfId="0" applyAlignment="1" applyFont="1">
      <alignment horizontal="right" readingOrder="0"/>
    </xf>
    <xf borderId="0" fillId="0" fontId="27" numFmtId="167" xfId="0" applyAlignment="1" applyFont="1" applyNumberFormat="1">
      <alignment horizontal="center"/>
    </xf>
    <xf borderId="15" fillId="0" fontId="37" numFmtId="0" xfId="0" applyAlignment="1" applyBorder="1" applyFont="1">
      <alignment horizontal="right" readingOrder="0"/>
    </xf>
    <xf borderId="16" fillId="0" fontId="29" numFmtId="0" xfId="0" applyAlignment="1" applyBorder="1" applyFont="1">
      <alignment horizontal="right" readingOrder="0" shrinkToFit="0" vertical="top" wrapText="0"/>
    </xf>
    <xf borderId="16" fillId="12" fontId="29" numFmtId="167" xfId="0" applyAlignment="1" applyBorder="1" applyFont="1" applyNumberFormat="1">
      <alignment horizontal="center" readingOrder="0" shrinkToFit="0" vertical="top" wrapText="0"/>
    </xf>
    <xf borderId="17" fillId="12" fontId="29" numFmtId="167" xfId="0" applyAlignment="1" applyBorder="1" applyFont="1" applyNumberFormat="1">
      <alignment horizontal="center" readingOrder="0" shrinkToFit="0" vertical="top" wrapText="0"/>
    </xf>
    <xf borderId="0" fillId="0" fontId="26" numFmtId="167" xfId="0" applyAlignment="1" applyFont="1" applyNumberFormat="1">
      <alignment horizontal="center" readingOrder="0" shrinkToFit="0" vertical="top" wrapText="0"/>
    </xf>
    <xf borderId="16" fillId="12" fontId="26" numFmtId="167" xfId="0" applyAlignment="1" applyBorder="1" applyFont="1" applyNumberFormat="1">
      <alignment horizontal="center" readingOrder="0" shrinkToFit="0" vertical="top" wrapText="0"/>
    </xf>
    <xf borderId="0" fillId="0" fontId="26" numFmtId="167" xfId="0" applyAlignment="1" applyFont="1" applyNumberFormat="1">
      <alignment horizontal="right" readingOrder="0" shrinkToFit="0" vertical="top" wrapText="0"/>
    </xf>
    <xf borderId="0" fillId="0" fontId="26" numFmtId="4" xfId="0" applyAlignment="1" applyFont="1" applyNumberFormat="1">
      <alignment horizontal="left" readingOrder="0" shrinkToFit="0" vertical="top" wrapText="0"/>
    </xf>
    <xf borderId="0" fillId="0" fontId="5" numFmtId="167" xfId="0" applyAlignment="1" applyFont="1" applyNumberFormat="1">
      <alignment horizontal="center" readingOrder="0" shrinkToFit="0" vertical="top" wrapText="0"/>
    </xf>
    <xf borderId="0" fillId="0" fontId="5" numFmtId="167" xfId="0" applyAlignment="1" applyFont="1" applyNumberFormat="1">
      <alignment horizontal="right" readingOrder="0" shrinkToFit="0" vertical="top" wrapText="0"/>
    </xf>
    <xf borderId="15" fillId="0" fontId="5" numFmtId="167" xfId="0" applyAlignment="1" applyBorder="1" applyFont="1" applyNumberFormat="1">
      <alignment horizontal="right" readingOrder="0" shrinkToFit="0" vertical="top" wrapText="0"/>
    </xf>
    <xf borderId="0" fillId="0" fontId="38" numFmtId="4" xfId="0" applyAlignment="1" applyFont="1" applyNumberFormat="1">
      <alignment horizontal="left" readingOrder="0" shrinkToFit="0" vertical="top" wrapText="0"/>
    </xf>
    <xf borderId="0" fillId="0" fontId="5" numFmtId="0" xfId="0" applyAlignment="1" applyFont="1">
      <alignment horizontal="center" shrinkToFit="0" vertical="top" wrapText="0"/>
    </xf>
    <xf borderId="0" fillId="0" fontId="5" numFmtId="0" xfId="0" applyAlignment="1" applyFont="1">
      <alignment horizontal="right" readingOrder="0" shrinkToFit="0" vertical="top" wrapText="0"/>
    </xf>
    <xf borderId="0" fillId="14" fontId="26" numFmtId="167" xfId="0" applyAlignment="1" applyFill="1" applyFont="1" applyNumberFormat="1">
      <alignment horizontal="center" shrinkToFit="0" vertical="top" wrapText="0"/>
    </xf>
    <xf borderId="0" fillId="0" fontId="5" numFmtId="0" xfId="0" applyAlignment="1" applyFont="1">
      <alignment horizontal="center" readingOrder="0" shrinkToFit="0" vertical="top" wrapText="0"/>
    </xf>
    <xf borderId="0" fillId="0" fontId="29" numFmtId="167" xfId="0" applyAlignment="1" applyFont="1" applyNumberFormat="1">
      <alignment horizontal="left" readingOrder="0" shrinkToFit="0" wrapText="0"/>
    </xf>
    <xf borderId="0" fillId="0" fontId="29" numFmtId="0" xfId="0" applyAlignment="1" applyFont="1">
      <alignment horizontal="left" readingOrder="0" shrinkToFit="0" wrapText="0"/>
    </xf>
    <xf borderId="0" fillId="0" fontId="29" numFmtId="10" xfId="0" applyAlignment="1" applyFont="1" applyNumberFormat="1">
      <alignment horizontal="center" readingOrder="0" shrinkToFit="0" wrapText="0"/>
    </xf>
    <xf borderId="0" fillId="0" fontId="29" numFmtId="0" xfId="0" applyAlignment="1" applyFont="1">
      <alignment horizontal="center" readingOrder="0" shrinkToFit="0" wrapText="0"/>
    </xf>
    <xf borderId="0" fillId="0" fontId="29" numFmtId="0" xfId="0" applyAlignment="1" applyFont="1">
      <alignment horizontal="left" shrinkToFit="0" wrapText="0"/>
    </xf>
    <xf borderId="0" fillId="0" fontId="33" numFmtId="0" xfId="0" applyAlignment="1" applyFont="1">
      <alignment horizontal="center" shrinkToFit="0" vertical="top" wrapText="0"/>
    </xf>
    <xf borderId="0" fillId="5" fontId="29" numFmtId="167" xfId="0" applyAlignment="1" applyFont="1" applyNumberFormat="1">
      <alignment horizontal="left" readingOrder="0" shrinkToFit="0" wrapText="0"/>
    </xf>
    <xf borderId="0" fillId="0" fontId="35" numFmtId="0" xfId="0" applyAlignment="1" applyFont="1">
      <alignment horizontal="left" readingOrder="0" shrinkToFit="0" vertical="top" wrapText="0"/>
    </xf>
    <xf borderId="0" fillId="0" fontId="35" numFmtId="0" xfId="0" applyAlignment="1" applyFont="1">
      <alignment horizontal="left" shrinkToFit="0" vertical="top" wrapText="0"/>
    </xf>
    <xf borderId="0" fillId="0" fontId="35" numFmtId="10" xfId="0" applyAlignment="1" applyFont="1" applyNumberFormat="1">
      <alignment horizontal="center" readingOrder="0" shrinkToFit="0" vertical="top" wrapText="0"/>
    </xf>
    <xf borderId="0" fillId="0" fontId="35" numFmtId="0" xfId="0" applyAlignment="1" applyFont="1">
      <alignment horizontal="right" shrinkToFit="0" vertical="top" wrapText="0"/>
    </xf>
    <xf borderId="0" fillId="0" fontId="35" numFmtId="0" xfId="0" applyAlignment="1" applyFont="1">
      <alignment horizontal="center" shrinkToFit="0" vertical="top" wrapText="0"/>
    </xf>
    <xf borderId="0" fillId="0" fontId="29" numFmtId="0" xfId="0" applyAlignment="1" applyFont="1">
      <alignment horizontal="left" readingOrder="0"/>
    </xf>
    <xf borderId="0" fillId="0" fontId="29" numFmtId="167" xfId="0" applyAlignment="1" applyFont="1" applyNumberFormat="1">
      <alignment horizontal="left" readingOrder="0" shrinkToFit="0" wrapText="0"/>
    </xf>
    <xf borderId="0" fillId="0" fontId="29" numFmtId="0" xfId="0" applyAlignment="1" applyFont="1">
      <alignment horizontal="center" shrinkToFit="0" wrapText="0"/>
    </xf>
    <xf borderId="0" fillId="0" fontId="7" numFmtId="0" xfId="0" applyAlignment="1" applyFont="1">
      <alignment horizontal="left" readingOrder="0" shrinkToFit="0" vertical="top" wrapText="0"/>
    </xf>
    <xf borderId="0" fillId="0" fontId="7" numFmtId="0" xfId="0" applyAlignment="1" applyFont="1">
      <alignment horizontal="left" shrinkToFit="0" vertical="top" wrapText="0"/>
    </xf>
    <xf borderId="0" fillId="0" fontId="7" numFmtId="10" xfId="0" applyAlignment="1" applyFont="1" applyNumberFormat="1">
      <alignment horizontal="right" readingOrder="0" shrinkToFit="0" vertical="top" wrapText="0"/>
    </xf>
    <xf borderId="0" fillId="0" fontId="7" numFmtId="10" xfId="0" applyAlignment="1" applyFont="1" applyNumberFormat="1">
      <alignment horizontal="center" readingOrder="0" shrinkToFit="0" vertical="top" wrapText="0"/>
    </xf>
    <xf borderId="0" fillId="0" fontId="39" numFmtId="0" xfId="0" applyAlignment="1" applyFont="1">
      <alignment horizontal="center" readingOrder="0" shrinkToFit="0" vertical="top" wrapText="0"/>
    </xf>
    <xf borderId="0" fillId="0" fontId="39" numFmtId="0" xfId="0" applyAlignment="1" applyFont="1">
      <alignment horizontal="right" readingOrder="0" shrinkToFit="0" vertical="top" wrapText="0"/>
    </xf>
    <xf borderId="0" fillId="0" fontId="7" numFmtId="0" xfId="0" applyAlignment="1" applyFont="1">
      <alignment horizontal="left" readingOrder="0" shrinkToFit="0" wrapText="0"/>
    </xf>
    <xf borderId="0" fillId="0" fontId="7" numFmtId="0" xfId="0" applyAlignment="1" applyFont="1">
      <alignment horizontal="left" shrinkToFit="0" wrapText="0"/>
    </xf>
    <xf borderId="0" fillId="0" fontId="7" numFmtId="10" xfId="0" applyAlignment="1" applyFont="1" applyNumberFormat="1">
      <alignment horizontal="center" readingOrder="0" shrinkToFit="0" wrapText="0"/>
    </xf>
    <xf borderId="0" fillId="0" fontId="40" numFmtId="0" xfId="0" applyAlignment="1" applyFont="1">
      <alignment horizontal="right" readingOrder="0" shrinkToFit="0" wrapText="0"/>
    </xf>
    <xf borderId="0" fillId="0" fontId="33" numFmtId="0" xfId="0" applyAlignment="1" applyFont="1">
      <alignment horizontal="left" readingOrder="0" shrinkToFit="0" wrapText="0"/>
    </xf>
    <xf borderId="0" fillId="0" fontId="33" numFmtId="0" xfId="0" applyAlignment="1" applyFont="1">
      <alignment horizontal="left" shrinkToFit="0" wrapText="0"/>
    </xf>
    <xf borderId="0" fillId="0" fontId="33" numFmtId="0" xfId="0" applyAlignment="1" applyFont="1">
      <alignment horizontal="center" readingOrder="0" shrinkToFit="0" wrapText="0"/>
    </xf>
    <xf borderId="0" fillId="0" fontId="27" numFmtId="0" xfId="0" applyAlignment="1" applyFont="1">
      <alignment horizontal="right"/>
    </xf>
    <xf borderId="0" fillId="10" fontId="29" numFmtId="0" xfId="0" applyAlignment="1" applyFont="1">
      <alignment horizontal="center" readingOrder="0" shrinkToFit="0" vertical="top" wrapText="0"/>
    </xf>
    <xf borderId="0" fillId="10" fontId="29" numFmtId="0" xfId="0" applyAlignment="1" applyFont="1">
      <alignment horizontal="center" readingOrder="0"/>
    </xf>
    <xf borderId="0" fillId="5" fontId="29" numFmtId="0" xfId="0" applyAlignment="1" applyFont="1">
      <alignment horizontal="center" readingOrder="0" shrinkToFit="0" vertical="top" wrapText="0"/>
    </xf>
    <xf borderId="0" fillId="5" fontId="29" numFmtId="0" xfId="0" applyAlignment="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5"/>
  </cols>
  <sheetData>
    <row r="1">
      <c r="A1" s="1"/>
      <c r="B1" s="2"/>
      <c r="C1" s="2"/>
      <c r="D1" s="2"/>
      <c r="E1" s="2"/>
      <c r="F1" s="2"/>
      <c r="G1" s="2"/>
      <c r="H1" s="2"/>
      <c r="I1" s="2"/>
      <c r="J1" s="2"/>
      <c r="K1" s="2"/>
      <c r="L1" s="2"/>
      <c r="M1" s="2"/>
      <c r="N1" s="3" t="s">
        <v>0</v>
      </c>
      <c r="O1" s="2"/>
      <c r="P1" s="4"/>
      <c r="Q1" s="4"/>
      <c r="R1" s="4"/>
      <c r="S1" s="5"/>
      <c r="T1" s="2"/>
      <c r="U1" s="2"/>
    </row>
    <row r="2">
      <c r="A2" s="6" t="s">
        <v>1</v>
      </c>
      <c r="O2" s="7"/>
      <c r="P2" s="8"/>
      <c r="Q2" s="8"/>
      <c r="R2" s="8"/>
      <c r="S2" s="9"/>
      <c r="T2" s="7"/>
      <c r="U2" s="7"/>
    </row>
    <row r="3">
      <c r="A3" s="6" t="s">
        <v>2</v>
      </c>
      <c r="O3" s="7"/>
      <c r="P3" s="8"/>
      <c r="Q3" s="8"/>
      <c r="R3" s="10">
        <v>45901.0</v>
      </c>
      <c r="S3" s="10">
        <v>45931.0</v>
      </c>
      <c r="T3" s="10">
        <v>45962.0</v>
      </c>
      <c r="U3" s="10">
        <v>45992.0</v>
      </c>
    </row>
    <row r="4">
      <c r="A4" s="6" t="s">
        <v>3</v>
      </c>
      <c r="O4" s="11"/>
      <c r="P4" s="4"/>
      <c r="Q4" s="4"/>
      <c r="R4" s="4"/>
      <c r="S4" s="5"/>
      <c r="T4" s="11"/>
      <c r="U4" s="11"/>
    </row>
    <row r="5">
      <c r="A5" s="6"/>
      <c r="O5" s="11"/>
      <c r="P5" s="4"/>
      <c r="Q5" s="4"/>
      <c r="R5" s="4"/>
      <c r="S5" s="5"/>
      <c r="T5" s="11"/>
      <c r="U5" s="11"/>
    </row>
    <row r="6">
      <c r="A6" s="12"/>
      <c r="B6" s="10">
        <v>46023.0</v>
      </c>
      <c r="C6" s="13" t="s">
        <v>4</v>
      </c>
      <c r="D6" s="10">
        <v>46082.0</v>
      </c>
      <c r="E6" s="10">
        <v>46113.0</v>
      </c>
      <c r="F6" s="10">
        <v>46143.0</v>
      </c>
      <c r="G6" s="10">
        <v>46174.0</v>
      </c>
      <c r="H6" s="10">
        <v>46204.0</v>
      </c>
      <c r="I6" s="10">
        <v>46235.0</v>
      </c>
      <c r="J6" s="10">
        <v>45901.0</v>
      </c>
      <c r="K6" s="10">
        <v>45931.0</v>
      </c>
      <c r="L6" s="10">
        <v>45962.0</v>
      </c>
      <c r="M6" s="10">
        <v>45992.0</v>
      </c>
      <c r="N6" s="14" t="s">
        <v>5</v>
      </c>
      <c r="O6" s="15"/>
      <c r="P6" s="16">
        <v>44805.0</v>
      </c>
      <c r="Q6" s="16">
        <v>45170.0</v>
      </c>
      <c r="R6" s="16">
        <v>45352.0</v>
      </c>
      <c r="S6" s="16">
        <v>45536.0</v>
      </c>
      <c r="T6" s="17"/>
      <c r="U6" s="17"/>
    </row>
    <row r="7">
      <c r="A7" s="18" t="s">
        <v>6</v>
      </c>
      <c r="B7" s="19">
        <f>'INTERNAL BUDGET'!I4</f>
        <v>176</v>
      </c>
      <c r="C7" s="19">
        <f>'INTERNAL BUDGET'!J4</f>
        <v>160</v>
      </c>
      <c r="D7" s="19">
        <f>'INTERNAL BUDGET'!K4</f>
        <v>176</v>
      </c>
      <c r="E7" s="19">
        <f>'INTERNAL BUDGET'!L4</f>
        <v>176</v>
      </c>
      <c r="F7" s="19">
        <f>'INTERNAL BUDGET'!M4</f>
        <v>168</v>
      </c>
      <c r="G7" s="19">
        <f>'INTERNAL BUDGET'!N4</f>
        <v>176</v>
      </c>
      <c r="H7" s="19">
        <f>'INTERNAL BUDGET'!O4</f>
        <v>184</v>
      </c>
      <c r="I7" s="19">
        <f>'INTERNAL BUDGET'!P4</f>
        <v>168</v>
      </c>
      <c r="J7" s="19">
        <f>'INTERNAL BUDGET'!Q4</f>
        <v>176</v>
      </c>
      <c r="K7" s="19">
        <f>'INTERNAL BUDGET'!R4</f>
        <v>176</v>
      </c>
      <c r="L7" s="19">
        <f>'INTERNAL BUDGET'!S4</f>
        <v>168</v>
      </c>
      <c r="M7" s="19">
        <f>'INTERNAL BUDGET'!T4</f>
        <v>184</v>
      </c>
      <c r="N7" s="19">
        <f>SUM(B7:M7)</f>
        <v>2088</v>
      </c>
      <c r="O7" s="20"/>
      <c r="P7" s="21"/>
      <c r="Q7" s="22"/>
      <c r="R7" s="22"/>
      <c r="S7" s="22"/>
      <c r="T7" s="23"/>
      <c r="U7" s="24"/>
    </row>
    <row r="8">
      <c r="A8" s="25"/>
      <c r="B8" s="26"/>
      <c r="C8" s="26"/>
      <c r="D8" s="26"/>
      <c r="E8" s="26"/>
      <c r="F8" s="26"/>
      <c r="G8" s="26"/>
      <c r="H8" s="26"/>
      <c r="I8" s="26"/>
      <c r="J8" s="26"/>
      <c r="K8" s="26"/>
      <c r="L8" s="26"/>
      <c r="M8" s="26"/>
      <c r="N8" s="26"/>
      <c r="O8" s="20"/>
      <c r="P8" s="27"/>
      <c r="Q8" s="28"/>
      <c r="R8" s="29"/>
      <c r="S8" s="29"/>
      <c r="T8" s="30" t="s">
        <v>7</v>
      </c>
      <c r="U8" s="31"/>
    </row>
    <row r="9">
      <c r="A9" s="32" t="s">
        <v>8</v>
      </c>
      <c r="B9" s="33">
        <f>'INTERNAL BUDGET'!I5</f>
        <v>93.35</v>
      </c>
      <c r="C9" s="33">
        <f>'INTERNAL BUDGET'!J5</f>
        <v>93.35</v>
      </c>
      <c r="D9" s="33">
        <f>'INTERNAL BUDGET'!K5</f>
        <v>93.35</v>
      </c>
      <c r="E9" s="33">
        <f>'INTERNAL BUDGET'!L5</f>
        <v>93.35</v>
      </c>
      <c r="F9" s="33">
        <f>'INTERNAL BUDGET'!M5</f>
        <v>93.35</v>
      </c>
      <c r="G9" s="33">
        <f>'INTERNAL BUDGET'!N5</f>
        <v>93.35</v>
      </c>
      <c r="H9" s="33">
        <f>'INTERNAL BUDGET'!O5</f>
        <v>93.35</v>
      </c>
      <c r="I9" s="33">
        <f>'INTERNAL BUDGET'!P5</f>
        <v>93.35</v>
      </c>
      <c r="J9" s="33">
        <f>'INTERNAL BUDGET'!Q5</f>
        <v>97.92</v>
      </c>
      <c r="K9" s="33">
        <f>'INTERNAL BUDGET'!R5</f>
        <v>97.92</v>
      </c>
      <c r="L9" s="33">
        <f>'INTERNAL BUDGET'!S5</f>
        <v>97.92</v>
      </c>
      <c r="M9" s="33">
        <f>'INTERNAL BUDGET'!T5</f>
        <v>97.92</v>
      </c>
      <c r="N9" s="34"/>
      <c r="O9" s="20"/>
      <c r="P9" s="35">
        <v>79.27</v>
      </c>
      <c r="Q9" s="36">
        <v>82.05</v>
      </c>
      <c r="R9" s="36">
        <v>84.83</v>
      </c>
      <c r="S9" s="36">
        <v>88.99</v>
      </c>
      <c r="T9" s="37">
        <v>1.0</v>
      </c>
      <c r="U9" s="38"/>
    </row>
    <row r="10">
      <c r="A10" s="39" t="s">
        <v>9</v>
      </c>
      <c r="B10" s="40">
        <f t="shared" ref="B10:M10" si="1">SUM(B9*B7)</f>
        <v>16429.6</v>
      </c>
      <c r="C10" s="40">
        <f t="shared" si="1"/>
        <v>14936</v>
      </c>
      <c r="D10" s="40">
        <f t="shared" si="1"/>
        <v>16429.6</v>
      </c>
      <c r="E10" s="40">
        <f t="shared" si="1"/>
        <v>16429.6</v>
      </c>
      <c r="F10" s="40">
        <f t="shared" si="1"/>
        <v>15682.8</v>
      </c>
      <c r="G10" s="40">
        <f t="shared" si="1"/>
        <v>16429.6</v>
      </c>
      <c r="H10" s="40">
        <f t="shared" si="1"/>
        <v>17176.4</v>
      </c>
      <c r="I10" s="40">
        <f t="shared" si="1"/>
        <v>15682.8</v>
      </c>
      <c r="J10" s="40">
        <f t="shared" si="1"/>
        <v>17233.92</v>
      </c>
      <c r="K10" s="40">
        <f t="shared" si="1"/>
        <v>17233.92</v>
      </c>
      <c r="L10" s="40">
        <f t="shared" si="1"/>
        <v>16450.56</v>
      </c>
      <c r="M10" s="40">
        <f t="shared" si="1"/>
        <v>18017.28</v>
      </c>
      <c r="N10" s="33">
        <f>SUM(B10:M10)</f>
        <v>198132.08</v>
      </c>
      <c r="O10" s="20"/>
      <c r="P10" s="41"/>
      <c r="Q10" s="42"/>
      <c r="R10" s="43"/>
      <c r="S10" s="43"/>
      <c r="T10" s="17"/>
      <c r="U10" s="38"/>
    </row>
    <row r="11">
      <c r="A11" s="25"/>
      <c r="B11" s="34"/>
      <c r="C11" s="34"/>
      <c r="D11" s="34"/>
      <c r="E11" s="34"/>
      <c r="F11" s="34"/>
      <c r="G11" s="34"/>
      <c r="H11" s="34"/>
      <c r="I11" s="34"/>
      <c r="J11" s="34"/>
      <c r="K11" s="34"/>
      <c r="L11" s="34"/>
      <c r="M11" s="34"/>
      <c r="N11" s="34"/>
      <c r="O11" s="20"/>
      <c r="P11" s="41"/>
      <c r="Q11" s="42"/>
      <c r="R11" s="43"/>
      <c r="S11" s="44"/>
      <c r="T11" s="17"/>
      <c r="U11" s="38"/>
    </row>
    <row r="12">
      <c r="A12" s="45" t="s">
        <v>10</v>
      </c>
      <c r="B12" s="46">
        <f t="shared" ref="B12:M12" si="2">SUM(B10)</f>
        <v>16429.6</v>
      </c>
      <c r="C12" s="46">
        <f t="shared" si="2"/>
        <v>14936</v>
      </c>
      <c r="D12" s="46">
        <f t="shared" si="2"/>
        <v>16429.6</v>
      </c>
      <c r="E12" s="46">
        <f t="shared" si="2"/>
        <v>16429.6</v>
      </c>
      <c r="F12" s="46">
        <f t="shared" si="2"/>
        <v>15682.8</v>
      </c>
      <c r="G12" s="46">
        <f t="shared" si="2"/>
        <v>16429.6</v>
      </c>
      <c r="H12" s="46">
        <f t="shared" si="2"/>
        <v>17176.4</v>
      </c>
      <c r="I12" s="46">
        <f t="shared" si="2"/>
        <v>15682.8</v>
      </c>
      <c r="J12" s="46">
        <f t="shared" si="2"/>
        <v>17233.92</v>
      </c>
      <c r="K12" s="46">
        <f t="shared" si="2"/>
        <v>17233.92</v>
      </c>
      <c r="L12" s="46">
        <f t="shared" si="2"/>
        <v>16450.56</v>
      </c>
      <c r="M12" s="46">
        <f t="shared" si="2"/>
        <v>18017.28</v>
      </c>
      <c r="N12" s="47">
        <f>SUM(B12:M12)</f>
        <v>198132.08</v>
      </c>
      <c r="O12" s="48"/>
      <c r="P12" s="28"/>
      <c r="Q12" s="29"/>
      <c r="R12" s="29"/>
      <c r="S12" s="29"/>
      <c r="T12" s="49">
        <v>2.0</v>
      </c>
      <c r="U12" s="50"/>
    </row>
    <row r="13">
      <c r="A13" s="51"/>
      <c r="B13" s="52"/>
      <c r="C13" s="52"/>
      <c r="D13" s="52"/>
      <c r="E13" s="52"/>
      <c r="F13" s="52"/>
      <c r="G13" s="52"/>
      <c r="H13" s="52"/>
      <c r="I13" s="52"/>
      <c r="J13" s="52"/>
      <c r="K13" s="52"/>
      <c r="L13" s="52"/>
      <c r="M13" s="52"/>
      <c r="N13" s="52"/>
      <c r="O13" s="48"/>
      <c r="P13" s="53"/>
      <c r="Q13" s="28"/>
      <c r="R13" s="29"/>
      <c r="S13" s="29"/>
      <c r="T13" s="50"/>
      <c r="U13" s="50"/>
    </row>
    <row r="14">
      <c r="A14" s="54" t="s">
        <v>11</v>
      </c>
      <c r="B14" s="55">
        <f>'INTERNAL BUDGET'!I23</f>
        <v>2680</v>
      </c>
      <c r="C14" s="55">
        <f>'INTERNAL BUDGET'!J23</f>
        <v>2680</v>
      </c>
      <c r="D14" s="55">
        <f>'INTERNAL BUDGET'!K23</f>
        <v>2680</v>
      </c>
      <c r="E14" s="55">
        <f>'INTERNAL BUDGET'!L23</f>
        <v>2680</v>
      </c>
      <c r="F14" s="55">
        <f>'INTERNAL BUDGET'!M23</f>
        <v>2680</v>
      </c>
      <c r="G14" s="55">
        <f>'INTERNAL BUDGET'!N23</f>
        <v>2680</v>
      </c>
      <c r="H14" s="55">
        <f>'INTERNAL BUDGET'!O23</f>
        <v>2680</v>
      </c>
      <c r="I14" s="55">
        <f>'INTERNAL BUDGET'!P23</f>
        <v>2680</v>
      </c>
      <c r="J14" s="55">
        <f>'INTERNAL BUDGET'!Q23</f>
        <v>2680</v>
      </c>
      <c r="K14" s="55">
        <f>'INTERNAL BUDGET'!R23</f>
        <v>2680</v>
      </c>
      <c r="L14" s="55">
        <f>'INTERNAL BUDGET'!S23</f>
        <v>2680</v>
      </c>
      <c r="M14" s="55">
        <f>'INTERNAL BUDGET'!T23</f>
        <v>2680</v>
      </c>
      <c r="N14" s="55">
        <f t="shared" ref="N14:N16" si="3">SUM(B14:M14)</f>
        <v>32160</v>
      </c>
      <c r="O14" s="20"/>
      <c r="P14" s="28"/>
      <c r="Q14" s="56">
        <v>2480.0</v>
      </c>
      <c r="R14" s="29"/>
      <c r="S14" s="56">
        <v>2480.0</v>
      </c>
      <c r="T14" s="30">
        <v>2.0</v>
      </c>
      <c r="U14" s="24"/>
    </row>
    <row r="15">
      <c r="A15" s="39" t="s">
        <v>12</v>
      </c>
      <c r="B15" s="55">
        <f>'INTERNAL BUDGET'!I24</f>
        <v>2559.04</v>
      </c>
      <c r="C15" s="55">
        <f>'INTERNAL BUDGET'!J24</f>
        <v>2326.4</v>
      </c>
      <c r="D15" s="55">
        <f>'INTERNAL BUDGET'!K24</f>
        <v>2559.04</v>
      </c>
      <c r="E15" s="55">
        <f>'INTERNAL BUDGET'!L24</f>
        <v>2559.04</v>
      </c>
      <c r="F15" s="55">
        <f>'INTERNAL BUDGET'!M24</f>
        <v>2442.72</v>
      </c>
      <c r="G15" s="55">
        <f>'INTERNAL BUDGET'!N24</f>
        <v>2559.04</v>
      </c>
      <c r="H15" s="55">
        <f>'INTERNAL BUDGET'!O24</f>
        <v>2675.36</v>
      </c>
      <c r="I15" s="55">
        <f>'INTERNAL BUDGET'!P24</f>
        <v>2442.72</v>
      </c>
      <c r="J15" s="55">
        <f>'INTERNAL BUDGET'!Q24</f>
        <v>2712.16</v>
      </c>
      <c r="K15" s="55">
        <f>'INTERNAL BUDGET'!R24</f>
        <v>2712.16</v>
      </c>
      <c r="L15" s="55">
        <f>'INTERNAL BUDGET'!S24</f>
        <v>2588.88</v>
      </c>
      <c r="M15" s="55">
        <f>'INTERNAL BUDGET'!T24</f>
        <v>2835.44</v>
      </c>
      <c r="N15" s="55">
        <f t="shared" si="3"/>
        <v>30972</v>
      </c>
      <c r="O15" s="48"/>
      <c r="P15" s="53"/>
      <c r="Q15" s="57">
        <v>12.94</v>
      </c>
      <c r="R15" s="29"/>
      <c r="S15" s="56">
        <v>13.72</v>
      </c>
      <c r="T15" s="30">
        <v>2.0</v>
      </c>
      <c r="U15" s="24"/>
    </row>
    <row r="16">
      <c r="A16" s="39" t="s">
        <v>13</v>
      </c>
      <c r="B16" s="55">
        <f>'INTERNAL BUDGET'!I25</f>
        <v>369.6</v>
      </c>
      <c r="C16" s="55">
        <f>'INTERNAL BUDGET'!J25</f>
        <v>336</v>
      </c>
      <c r="D16" s="55">
        <f>'INTERNAL BUDGET'!K25</f>
        <v>369.6</v>
      </c>
      <c r="E16" s="55">
        <f>'INTERNAL BUDGET'!L25</f>
        <v>369.6</v>
      </c>
      <c r="F16" s="55">
        <f>'INTERNAL BUDGET'!M25</f>
        <v>352.8</v>
      </c>
      <c r="G16" s="55">
        <f>'INTERNAL BUDGET'!N25</f>
        <v>369.6</v>
      </c>
      <c r="H16" s="55">
        <f>'INTERNAL BUDGET'!O25</f>
        <v>386.4</v>
      </c>
      <c r="I16" s="55">
        <f>'INTERNAL BUDGET'!P25</f>
        <v>352.8</v>
      </c>
      <c r="J16" s="55">
        <f>'INTERNAL BUDGET'!Q25</f>
        <v>369.6</v>
      </c>
      <c r="K16" s="55">
        <f>'INTERNAL BUDGET'!R25</f>
        <v>369.6</v>
      </c>
      <c r="L16" s="55">
        <f>'INTERNAL BUDGET'!S25</f>
        <v>352.8</v>
      </c>
      <c r="M16" s="55">
        <f>'INTERNAL BUDGET'!T25</f>
        <v>386.4</v>
      </c>
      <c r="N16" s="55">
        <f t="shared" si="3"/>
        <v>4384.8</v>
      </c>
      <c r="O16" s="48"/>
      <c r="P16" s="53"/>
      <c r="Q16" s="57">
        <v>2.0</v>
      </c>
      <c r="R16" s="29"/>
      <c r="S16" s="56">
        <v>2.05</v>
      </c>
      <c r="T16" s="30">
        <v>2.0</v>
      </c>
      <c r="U16" s="24"/>
    </row>
    <row r="17">
      <c r="A17" s="54" t="s">
        <v>14</v>
      </c>
      <c r="B17" s="55">
        <f>'INTERNAL BUDGET'!I26</f>
        <v>1115</v>
      </c>
      <c r="C17" s="55" t="str">
        <f>'INTERNAL BUDGET'!J26</f>
        <v/>
      </c>
      <c r="D17" s="55" t="str">
        <f>'INTERNAL BUDGET'!K26</f>
        <v/>
      </c>
      <c r="E17" s="55" t="str">
        <f>'INTERNAL BUDGET'!L26</f>
        <v/>
      </c>
      <c r="F17" s="55" t="str">
        <f>'INTERNAL BUDGET'!M26</f>
        <v/>
      </c>
      <c r="G17" s="55" t="str">
        <f>'INTERNAL BUDGET'!N26</f>
        <v/>
      </c>
      <c r="H17" s="55" t="str">
        <f>'INTERNAL BUDGET'!O26</f>
        <v/>
      </c>
      <c r="I17" s="55" t="str">
        <f>'INTERNAL BUDGET'!P26</f>
        <v/>
      </c>
      <c r="J17" s="55" t="str">
        <f>'INTERNAL BUDGET'!Q26</f>
        <v/>
      </c>
      <c r="K17" s="55" t="str">
        <f>'INTERNAL BUDGET'!R26</f>
        <v/>
      </c>
      <c r="L17" s="55" t="str">
        <f>'INTERNAL BUDGET'!S26</f>
        <v/>
      </c>
      <c r="M17" s="55" t="str">
        <f>'INTERNAL BUDGET'!T26</f>
        <v/>
      </c>
      <c r="N17" s="55" t="str">
        <f>'INTERNAL BUDGET'!U26</f>
        <v/>
      </c>
      <c r="O17" s="20"/>
      <c r="P17" s="28"/>
      <c r="Q17" s="56">
        <v>1119.0</v>
      </c>
      <c r="R17" s="29"/>
      <c r="S17" s="29"/>
      <c r="T17" s="30">
        <v>2.0</v>
      </c>
      <c r="U17" s="24"/>
    </row>
    <row r="18">
      <c r="A18" s="54" t="s">
        <v>15</v>
      </c>
      <c r="B18" s="55">
        <f>'INTERNAL BUDGET'!I27</f>
        <v>104</v>
      </c>
      <c r="C18" s="55" t="str">
        <f>'INTERNAL BUDGET'!J27</f>
        <v/>
      </c>
      <c r="D18" s="55" t="str">
        <f>'INTERNAL BUDGET'!K27</f>
        <v/>
      </c>
      <c r="E18" s="55" t="str">
        <f>'INTERNAL BUDGET'!L27</f>
        <v/>
      </c>
      <c r="F18" s="55" t="str">
        <f>'INTERNAL BUDGET'!M27</f>
        <v/>
      </c>
      <c r="G18" s="55" t="str">
        <f>'INTERNAL BUDGET'!N27</f>
        <v/>
      </c>
      <c r="H18" s="55" t="str">
        <f>'INTERNAL BUDGET'!O27</f>
        <v/>
      </c>
      <c r="I18" s="55" t="str">
        <f>'INTERNAL BUDGET'!P27</f>
        <v/>
      </c>
      <c r="J18" s="55" t="str">
        <f>'INTERNAL BUDGET'!Q27</f>
        <v/>
      </c>
      <c r="K18" s="55" t="str">
        <f>'INTERNAL BUDGET'!R27</f>
        <v/>
      </c>
      <c r="L18" s="55" t="str">
        <f>'INTERNAL BUDGET'!S27</f>
        <v/>
      </c>
      <c r="M18" s="55" t="str">
        <f>'INTERNAL BUDGET'!T27</f>
        <v/>
      </c>
      <c r="N18" s="55" t="str">
        <f>'INTERNAL BUDGET'!U27</f>
        <v/>
      </c>
      <c r="O18" s="20"/>
      <c r="P18" s="58">
        <v>2023.0</v>
      </c>
      <c r="Q18" s="59"/>
      <c r="R18" s="59"/>
      <c r="S18" s="60">
        <v>2024.0</v>
      </c>
      <c r="T18" s="23"/>
      <c r="U18" s="24"/>
    </row>
    <row r="19">
      <c r="A19" s="54"/>
      <c r="B19" s="26"/>
      <c r="C19" s="26"/>
      <c r="D19" s="26"/>
      <c r="E19" s="26"/>
      <c r="F19" s="26"/>
      <c r="G19" s="26"/>
      <c r="H19" s="26"/>
      <c r="I19" s="26"/>
      <c r="J19" s="26"/>
      <c r="K19" s="26"/>
      <c r="L19" s="26"/>
      <c r="M19" s="26"/>
      <c r="N19" s="55"/>
      <c r="O19" s="20"/>
      <c r="P19" s="58"/>
      <c r="Q19" s="59"/>
      <c r="R19" s="59"/>
      <c r="S19" s="60"/>
      <c r="T19" s="23"/>
      <c r="U19" s="24"/>
    </row>
    <row r="20">
      <c r="A20" s="54"/>
      <c r="B20" s="26"/>
      <c r="C20" s="26"/>
      <c r="D20" s="26"/>
      <c r="E20" s="26"/>
      <c r="F20" s="26"/>
      <c r="G20" s="26"/>
      <c r="H20" s="26"/>
      <c r="I20" s="26"/>
      <c r="J20" s="26"/>
      <c r="K20" s="26"/>
      <c r="L20" s="26"/>
      <c r="M20" s="26"/>
      <c r="N20" s="26"/>
      <c r="O20" s="20"/>
      <c r="P20" s="58"/>
      <c r="Q20" s="59"/>
      <c r="R20" s="59"/>
      <c r="S20" s="60"/>
      <c r="T20" s="23"/>
      <c r="U20" s="24"/>
    </row>
    <row r="21">
      <c r="A21" s="54" t="s">
        <v>16</v>
      </c>
      <c r="B21" s="55">
        <f>'INTERNAL BUDGET'!I44</f>
        <v>91.092</v>
      </c>
      <c r="C21" s="55">
        <f>'INTERNAL BUDGET'!J44</f>
        <v>91.092</v>
      </c>
      <c r="D21" s="55">
        <f>'INTERNAL BUDGET'!K44</f>
        <v>91.092</v>
      </c>
      <c r="E21" s="55">
        <f>'INTERNAL BUDGET'!L44</f>
        <v>91.092</v>
      </c>
      <c r="F21" s="55">
        <f>'INTERNAL BUDGET'!M44</f>
        <v>91.092</v>
      </c>
      <c r="G21" s="55">
        <f>'INTERNAL BUDGET'!N44</f>
        <v>91.092</v>
      </c>
      <c r="H21" s="55">
        <f>'INTERNAL BUDGET'!O44</f>
        <v>91.092</v>
      </c>
      <c r="I21" s="55">
        <f>'INTERNAL BUDGET'!P44</f>
        <v>91.092</v>
      </c>
      <c r="J21" s="55">
        <f>'INTERNAL BUDGET'!Q44</f>
        <v>91.092</v>
      </c>
      <c r="K21" s="55">
        <f>'INTERNAL BUDGET'!R44</f>
        <v>91.092</v>
      </c>
      <c r="L21" s="55">
        <f>'INTERNAL BUDGET'!S44</f>
        <v>91.092</v>
      </c>
      <c r="M21" s="55">
        <f>'INTERNAL BUDGET'!T44</f>
        <v>91.092</v>
      </c>
      <c r="N21" s="55">
        <f t="shared" ref="N21:N25" si="4">SUM(B21:M21)</f>
        <v>1093.104</v>
      </c>
      <c r="O21" s="20"/>
      <c r="P21" s="57">
        <v>87.27</v>
      </c>
      <c r="Q21" s="29"/>
      <c r="R21" s="29"/>
      <c r="S21" s="56">
        <v>87.27</v>
      </c>
      <c r="T21" s="30">
        <v>2.0</v>
      </c>
      <c r="U21" s="31"/>
    </row>
    <row r="22">
      <c r="A22" s="54" t="s">
        <v>17</v>
      </c>
      <c r="B22" s="55">
        <f>'INTERNAL BUDGET'!I40</f>
        <v>157.4973</v>
      </c>
      <c r="C22" s="55">
        <f>'INTERNAL BUDGET'!J40</f>
        <v>157.4973</v>
      </c>
      <c r="D22" s="55">
        <f>'INTERNAL BUDGET'!K40</f>
        <v>157.4973</v>
      </c>
      <c r="E22" s="55">
        <f>'INTERNAL BUDGET'!L40</f>
        <v>157.4973</v>
      </c>
      <c r="F22" s="55">
        <f>'INTERNAL BUDGET'!M40</f>
        <v>157.4973</v>
      </c>
      <c r="G22" s="55">
        <f>'INTERNAL BUDGET'!N40</f>
        <v>157.4973</v>
      </c>
      <c r="H22" s="55">
        <f>'INTERNAL BUDGET'!O40</f>
        <v>157.4973</v>
      </c>
      <c r="I22" s="55">
        <f>'INTERNAL BUDGET'!P40</f>
        <v>157.4973</v>
      </c>
      <c r="J22" s="55">
        <f>'INTERNAL BUDGET'!Q40</f>
        <v>157.4973</v>
      </c>
      <c r="K22" s="55">
        <f>'INTERNAL BUDGET'!R40</f>
        <v>157.4973</v>
      </c>
      <c r="L22" s="55">
        <f>'INTERNAL BUDGET'!S40</f>
        <v>157.4973</v>
      </c>
      <c r="M22" s="55">
        <f>'INTERNAL BUDGET'!T40</f>
        <v>157.4973</v>
      </c>
      <c r="N22" s="55">
        <f t="shared" si="4"/>
        <v>1889.9676</v>
      </c>
      <c r="O22" s="20"/>
      <c r="P22" s="57">
        <v>100.0</v>
      </c>
      <c r="Q22" s="29"/>
      <c r="R22" s="29"/>
      <c r="S22" s="56">
        <v>160.0</v>
      </c>
      <c r="T22" s="30">
        <v>2.0</v>
      </c>
      <c r="U22" s="31"/>
    </row>
    <row r="23">
      <c r="A23" s="54" t="s">
        <v>18</v>
      </c>
      <c r="B23" s="55">
        <f>'INTERNAL BUDGET'!I41</f>
        <v>94.5</v>
      </c>
      <c r="C23" s="55">
        <f>'INTERNAL BUDGET'!J41</f>
        <v>94.5</v>
      </c>
      <c r="D23" s="55">
        <f>'INTERNAL BUDGET'!K41</f>
        <v>94.5</v>
      </c>
      <c r="E23" s="55">
        <f>'INTERNAL BUDGET'!L41</f>
        <v>94.5</v>
      </c>
      <c r="F23" s="55">
        <f>'INTERNAL BUDGET'!M41</f>
        <v>94.5</v>
      </c>
      <c r="G23" s="55">
        <f>'INTERNAL BUDGET'!N41</f>
        <v>94.5</v>
      </c>
      <c r="H23" s="55">
        <f>'INTERNAL BUDGET'!O41</f>
        <v>94.5</v>
      </c>
      <c r="I23" s="55">
        <f>'INTERNAL BUDGET'!P41</f>
        <v>94.5</v>
      </c>
      <c r="J23" s="55">
        <f>'INTERNAL BUDGET'!Q41</f>
        <v>94.5</v>
      </c>
      <c r="K23" s="55">
        <f>'INTERNAL BUDGET'!R41</f>
        <v>94.5</v>
      </c>
      <c r="L23" s="55">
        <f>'INTERNAL BUDGET'!S41</f>
        <v>94.5</v>
      </c>
      <c r="M23" s="55">
        <f>'INTERNAL BUDGET'!T41</f>
        <v>94.5</v>
      </c>
      <c r="N23" s="55">
        <f t="shared" si="4"/>
        <v>1134</v>
      </c>
      <c r="O23" s="20"/>
      <c r="P23" s="57">
        <v>90.0</v>
      </c>
      <c r="Q23" s="29"/>
      <c r="R23" s="29"/>
      <c r="S23" s="56">
        <v>90.0</v>
      </c>
      <c r="T23" s="30">
        <v>2.0</v>
      </c>
      <c r="U23" s="31"/>
    </row>
    <row r="24">
      <c r="A24" s="54" t="s">
        <v>19</v>
      </c>
      <c r="B24" s="55">
        <f>'INTERNAL BUDGET'!I48</f>
        <v>127</v>
      </c>
      <c r="C24" s="55">
        <f>'INTERNAL BUDGET'!J48</f>
        <v>127</v>
      </c>
      <c r="D24" s="55">
        <f>'INTERNAL BUDGET'!K48</f>
        <v>127</v>
      </c>
      <c r="E24" s="55">
        <f>'INTERNAL BUDGET'!L48</f>
        <v>127</v>
      </c>
      <c r="F24" s="55">
        <f>'INTERNAL BUDGET'!M48</f>
        <v>127</v>
      </c>
      <c r="G24" s="55">
        <f>'INTERNAL BUDGET'!N48</f>
        <v>127</v>
      </c>
      <c r="H24" s="55">
        <f>'INTERNAL BUDGET'!O48</f>
        <v>127</v>
      </c>
      <c r="I24" s="55">
        <f>'INTERNAL BUDGET'!P48</f>
        <v>127</v>
      </c>
      <c r="J24" s="55">
        <f>'INTERNAL BUDGET'!Q48</f>
        <v>127</v>
      </c>
      <c r="K24" s="55">
        <f>'INTERNAL BUDGET'!R48</f>
        <v>127</v>
      </c>
      <c r="L24" s="55">
        <f>'INTERNAL BUDGET'!S48</f>
        <v>127</v>
      </c>
      <c r="M24" s="55">
        <f>'INTERNAL BUDGET'!T48</f>
        <v>127</v>
      </c>
      <c r="N24" s="55">
        <f t="shared" si="4"/>
        <v>1524</v>
      </c>
      <c r="O24" s="20"/>
      <c r="P24" s="57">
        <v>62.5</v>
      </c>
      <c r="Q24" s="29"/>
      <c r="R24" s="29"/>
      <c r="S24" s="56">
        <v>62.5</v>
      </c>
      <c r="T24" s="30">
        <v>2.0</v>
      </c>
      <c r="U24" s="31"/>
    </row>
    <row r="25">
      <c r="A25" s="54" t="s">
        <v>20</v>
      </c>
      <c r="B25" s="55">
        <f>'INTERNAL BUDGET'!I49</f>
        <v>0</v>
      </c>
      <c r="C25" s="55">
        <f>'INTERNAL BUDGET'!J49</f>
        <v>0</v>
      </c>
      <c r="D25" s="55">
        <f>'INTERNAL BUDGET'!K49</f>
        <v>0</v>
      </c>
      <c r="E25" s="55">
        <f>'INTERNAL BUDGET'!L49</f>
        <v>0</v>
      </c>
      <c r="F25" s="55">
        <f>'INTERNAL BUDGET'!M49</f>
        <v>0</v>
      </c>
      <c r="G25" s="55">
        <f>'INTERNAL BUDGET'!N49</f>
        <v>0</v>
      </c>
      <c r="H25" s="55">
        <f>'INTERNAL BUDGET'!O49</f>
        <v>0</v>
      </c>
      <c r="I25" s="55">
        <f>'INTERNAL BUDGET'!P49</f>
        <v>0</v>
      </c>
      <c r="J25" s="55">
        <f>'INTERNAL BUDGET'!Q49</f>
        <v>0</v>
      </c>
      <c r="K25" s="55">
        <f>'INTERNAL BUDGET'!R49</f>
        <v>0</v>
      </c>
      <c r="L25" s="55">
        <f>'INTERNAL BUDGET'!S49</f>
        <v>0</v>
      </c>
      <c r="M25" s="55">
        <f>'INTERNAL BUDGET'!T49</f>
        <v>0</v>
      </c>
      <c r="N25" s="55">
        <f t="shared" si="4"/>
        <v>0</v>
      </c>
      <c r="O25" s="20"/>
      <c r="P25" s="57">
        <v>86.0</v>
      </c>
      <c r="Q25" s="29"/>
      <c r="R25" s="29"/>
      <c r="S25" s="56">
        <v>100.0</v>
      </c>
      <c r="T25" s="61">
        <v>0.0</v>
      </c>
      <c r="U25" s="31"/>
    </row>
    <row r="26">
      <c r="A26" s="62"/>
      <c r="B26" s="26"/>
      <c r="C26" s="26"/>
      <c r="D26" s="26"/>
      <c r="E26" s="26"/>
      <c r="F26" s="26"/>
      <c r="G26" s="26"/>
      <c r="H26" s="26"/>
      <c r="I26" s="26"/>
      <c r="J26" s="26"/>
      <c r="K26" s="26"/>
      <c r="L26" s="26"/>
      <c r="M26" s="26"/>
      <c r="N26" s="55"/>
      <c r="O26" s="20"/>
      <c r="P26" s="63"/>
      <c r="Q26" s="28"/>
      <c r="R26" s="29"/>
      <c r="S26" s="29"/>
      <c r="T26" s="64"/>
      <c r="U26" s="31"/>
    </row>
    <row r="27">
      <c r="A27" s="54" t="s">
        <v>21</v>
      </c>
      <c r="B27" s="65">
        <f>'INTERNAL BUDGET'!I19</f>
        <v>3778.808</v>
      </c>
      <c r="C27" s="65">
        <f>'INTERNAL BUDGET'!J19</f>
        <v>3435.28</v>
      </c>
      <c r="D27" s="65">
        <f>'INTERNAL BUDGET'!K19</f>
        <v>3778.808</v>
      </c>
      <c r="E27" s="65">
        <f>'INTERNAL BUDGET'!L19</f>
        <v>3778.808</v>
      </c>
      <c r="F27" s="65">
        <f>'INTERNAL BUDGET'!M19</f>
        <v>3607.044</v>
      </c>
      <c r="G27" s="65">
        <f>'INTERNAL BUDGET'!N19</f>
        <v>3778.808</v>
      </c>
      <c r="H27" s="65">
        <f>'INTERNAL BUDGET'!O19</f>
        <v>3950.572</v>
      </c>
      <c r="I27" s="65">
        <f>'INTERNAL BUDGET'!P19</f>
        <v>3607.044</v>
      </c>
      <c r="J27" s="65">
        <f>'INTERNAL BUDGET'!Q19</f>
        <v>3963.8016</v>
      </c>
      <c r="K27" s="65">
        <f>'INTERNAL BUDGET'!R19</f>
        <v>3963.8016</v>
      </c>
      <c r="L27" s="65">
        <f>'INTERNAL BUDGET'!S19</f>
        <v>3783.6288</v>
      </c>
      <c r="M27" s="65">
        <f>'INTERNAL BUDGET'!T19</f>
        <v>4143.9744</v>
      </c>
      <c r="N27" s="55">
        <f t="shared" ref="N27:N32" si="5">SUM(B27:M27)</f>
        <v>45570.3784</v>
      </c>
      <c r="O27" s="20"/>
      <c r="P27" s="66">
        <v>0.23</v>
      </c>
      <c r="Q27" s="67"/>
      <c r="R27" s="67"/>
      <c r="S27" s="68">
        <v>0.23</v>
      </c>
      <c r="T27" s="31"/>
      <c r="U27" s="31"/>
    </row>
    <row r="28">
      <c r="A28" s="54" t="s">
        <v>22</v>
      </c>
      <c r="B28" s="69">
        <f>'INTERNAL BUDGET'!I55</f>
        <v>27506.1373</v>
      </c>
      <c r="C28" s="69">
        <f>'INTERNAL BUDGET'!J55</f>
        <v>24183.7693</v>
      </c>
      <c r="D28" s="69">
        <f>'INTERNAL BUDGET'!K55</f>
        <v>26287.1373</v>
      </c>
      <c r="E28" s="69">
        <f>'INTERNAL BUDGET'!L55</f>
        <v>26287.1373</v>
      </c>
      <c r="F28" s="69">
        <f>'INTERNAL BUDGET'!M55</f>
        <v>25235.4533</v>
      </c>
      <c r="G28" s="69">
        <f>'INTERNAL BUDGET'!N55</f>
        <v>26287.1373</v>
      </c>
      <c r="H28" s="69">
        <f>'INTERNAL BUDGET'!O55</f>
        <v>27338.8213</v>
      </c>
      <c r="I28" s="69">
        <f>'INTERNAL BUDGET'!P55</f>
        <v>25235.4533</v>
      </c>
      <c r="J28" s="69">
        <f>'INTERNAL BUDGET'!Q55</f>
        <v>27429.5709</v>
      </c>
      <c r="K28" s="69">
        <f>'INTERNAL BUDGET'!R55</f>
        <v>27429.5709</v>
      </c>
      <c r="L28" s="69">
        <f>'INTERNAL BUDGET'!S55</f>
        <v>26325.9581</v>
      </c>
      <c r="M28" s="69">
        <f>'INTERNAL BUDGET'!T55</f>
        <v>28533.1837</v>
      </c>
      <c r="N28" s="55">
        <f t="shared" si="5"/>
        <v>318079.33</v>
      </c>
      <c r="O28" s="20"/>
      <c r="P28" s="70"/>
      <c r="Q28" s="67"/>
      <c r="R28" s="67"/>
      <c r="S28" s="71"/>
      <c r="T28" s="64"/>
      <c r="U28" s="31"/>
    </row>
    <row r="29">
      <c r="A29" s="54" t="s">
        <v>23</v>
      </c>
      <c r="B29" s="65">
        <f>'INTERNAL BUDGET'!I57</f>
        <v>825.184119</v>
      </c>
      <c r="C29" s="65">
        <f>'INTERNAL BUDGET'!J57</f>
        <v>725.513079</v>
      </c>
      <c r="D29" s="65">
        <f>'INTERNAL BUDGET'!K57</f>
        <v>788.614119</v>
      </c>
      <c r="E29" s="65">
        <f>'INTERNAL BUDGET'!L57</f>
        <v>788.614119</v>
      </c>
      <c r="F29" s="65">
        <f>'INTERNAL BUDGET'!M57</f>
        <v>757.063599</v>
      </c>
      <c r="G29" s="65">
        <f>'INTERNAL BUDGET'!N57</f>
        <v>788.614119</v>
      </c>
      <c r="H29" s="65">
        <f>'INTERNAL BUDGET'!O57</f>
        <v>820.164639</v>
      </c>
      <c r="I29" s="65">
        <f>'INTERNAL BUDGET'!P57</f>
        <v>757.063599</v>
      </c>
      <c r="J29" s="65">
        <f>'INTERNAL BUDGET'!Q57</f>
        <v>822.887127</v>
      </c>
      <c r="K29" s="65">
        <f>'INTERNAL BUDGET'!R57</f>
        <v>822.887127</v>
      </c>
      <c r="L29" s="65">
        <f>'INTERNAL BUDGET'!S57</f>
        <v>789.778743</v>
      </c>
      <c r="M29" s="65">
        <f>'INTERNAL BUDGET'!T57</f>
        <v>855.995511</v>
      </c>
      <c r="N29" s="55">
        <f t="shared" si="5"/>
        <v>9542.3799</v>
      </c>
      <c r="O29" s="72" t="s">
        <v>24</v>
      </c>
      <c r="P29" s="66">
        <v>0.03</v>
      </c>
      <c r="Q29" s="67"/>
      <c r="R29" s="67"/>
      <c r="S29" s="68">
        <v>0.03</v>
      </c>
      <c r="T29" s="31"/>
      <c r="U29" s="31"/>
    </row>
    <row r="30">
      <c r="A30" s="73" t="s">
        <v>25</v>
      </c>
      <c r="B30" s="69">
        <f t="shared" ref="B30:M30" si="6">SUM(B28:B29)</f>
        <v>28331.32142</v>
      </c>
      <c r="C30" s="69">
        <f t="shared" si="6"/>
        <v>24909.28238</v>
      </c>
      <c r="D30" s="69">
        <f t="shared" si="6"/>
        <v>27075.75142</v>
      </c>
      <c r="E30" s="69">
        <f t="shared" si="6"/>
        <v>27075.75142</v>
      </c>
      <c r="F30" s="69">
        <f t="shared" si="6"/>
        <v>25992.5169</v>
      </c>
      <c r="G30" s="69">
        <f t="shared" si="6"/>
        <v>27075.75142</v>
      </c>
      <c r="H30" s="69">
        <f t="shared" si="6"/>
        <v>28158.98594</v>
      </c>
      <c r="I30" s="69">
        <f t="shared" si="6"/>
        <v>25992.5169</v>
      </c>
      <c r="J30" s="69">
        <f t="shared" si="6"/>
        <v>28252.45803</v>
      </c>
      <c r="K30" s="69">
        <f t="shared" si="6"/>
        <v>28252.45803</v>
      </c>
      <c r="L30" s="69">
        <f t="shared" si="6"/>
        <v>27115.73684</v>
      </c>
      <c r="M30" s="69">
        <f t="shared" si="6"/>
        <v>29389.17921</v>
      </c>
      <c r="N30" s="55">
        <f t="shared" si="5"/>
        <v>327621.7099</v>
      </c>
      <c r="O30" s="74"/>
      <c r="P30" s="75"/>
      <c r="Q30" s="67"/>
      <c r="R30" s="67"/>
      <c r="S30" s="67"/>
      <c r="T30" s="64"/>
      <c r="U30" s="64"/>
    </row>
    <row r="31">
      <c r="A31" s="76" t="s">
        <v>26</v>
      </c>
      <c r="B31" s="55">
        <f>SUM('INTERNAL BUDGET'!I64)</f>
        <v>39.66384999</v>
      </c>
      <c r="C31" s="55">
        <f>SUM('INTERNAL BUDGET'!J64)</f>
        <v>34.87299533</v>
      </c>
      <c r="D31" s="55">
        <f>SUM('INTERNAL BUDGET'!K64)</f>
        <v>37.90605199</v>
      </c>
      <c r="E31" s="55">
        <f>SUM('INTERNAL BUDGET'!L64)</f>
        <v>37.90605199</v>
      </c>
      <c r="F31" s="55">
        <f>SUM('INTERNAL BUDGET'!M64)</f>
        <v>36.38952366</v>
      </c>
      <c r="G31" s="55">
        <f>SUM('INTERNAL BUDGET'!N64)</f>
        <v>37.90605199</v>
      </c>
      <c r="H31" s="55">
        <f>SUM('INTERNAL BUDGET'!O64)</f>
        <v>39.42258031</v>
      </c>
      <c r="I31" s="55">
        <f>SUM('INTERNAL BUDGET'!P64)</f>
        <v>36.38952366</v>
      </c>
      <c r="J31" s="55">
        <f>SUM('INTERNAL BUDGET'!Q64)</f>
        <v>39.55344124</v>
      </c>
      <c r="K31" s="55">
        <f>SUM('INTERNAL BUDGET'!R64)</f>
        <v>39.55344124</v>
      </c>
      <c r="L31" s="55">
        <f>SUM('INTERNAL BUDGET'!S64)</f>
        <v>37.96203158</v>
      </c>
      <c r="M31" s="55">
        <f>SUM('INTERNAL BUDGET'!T64)</f>
        <v>41.1448509</v>
      </c>
      <c r="N31" s="55">
        <f t="shared" si="5"/>
        <v>458.6703939</v>
      </c>
      <c r="O31" s="74"/>
      <c r="P31" s="77">
        <v>0.00765</v>
      </c>
      <c r="Q31" s="67"/>
      <c r="R31" s="67"/>
      <c r="S31" s="68">
        <v>0.00765</v>
      </c>
      <c r="T31" s="78" t="s">
        <v>27</v>
      </c>
    </row>
    <row r="32">
      <c r="A32" s="79" t="s">
        <v>28</v>
      </c>
      <c r="B32" s="80">
        <f t="shared" ref="B32:M32" si="7">SUM(B30:B31)</f>
        <v>28370.98527</v>
      </c>
      <c r="C32" s="80">
        <f t="shared" si="7"/>
        <v>24944.15537</v>
      </c>
      <c r="D32" s="80">
        <f t="shared" si="7"/>
        <v>27113.65747</v>
      </c>
      <c r="E32" s="80">
        <f t="shared" si="7"/>
        <v>27113.65747</v>
      </c>
      <c r="F32" s="80">
        <f t="shared" si="7"/>
        <v>26028.90642</v>
      </c>
      <c r="G32" s="80">
        <f t="shared" si="7"/>
        <v>27113.65747</v>
      </c>
      <c r="H32" s="80">
        <f t="shared" si="7"/>
        <v>28198.40852</v>
      </c>
      <c r="I32" s="80">
        <f t="shared" si="7"/>
        <v>26028.90642</v>
      </c>
      <c r="J32" s="80">
        <f t="shared" si="7"/>
        <v>28292.01147</v>
      </c>
      <c r="K32" s="80">
        <f t="shared" si="7"/>
        <v>28292.01147</v>
      </c>
      <c r="L32" s="80">
        <f t="shared" si="7"/>
        <v>27153.69887</v>
      </c>
      <c r="M32" s="80">
        <f t="shared" si="7"/>
        <v>29430.32406</v>
      </c>
      <c r="N32" s="81">
        <f t="shared" si="5"/>
        <v>328080.3803</v>
      </c>
      <c r="O32" s="82" t="s">
        <v>24</v>
      </c>
      <c r="P32" s="83"/>
      <c r="Q32" s="84"/>
      <c r="R32" s="84"/>
      <c r="S32" s="84"/>
      <c r="T32" s="64"/>
      <c r="U32" s="31"/>
    </row>
    <row r="33">
      <c r="A33" s="31"/>
      <c r="B33" s="31"/>
      <c r="C33" s="31"/>
      <c r="D33" s="31"/>
      <c r="E33" s="31"/>
      <c r="F33" s="31"/>
      <c r="G33" s="31"/>
      <c r="H33" s="31"/>
      <c r="I33" s="31"/>
      <c r="J33" s="31"/>
      <c r="K33" s="31"/>
      <c r="L33" s="31"/>
      <c r="M33" s="31"/>
      <c r="N33" s="31"/>
      <c r="O33" s="31"/>
      <c r="P33" s="4"/>
      <c r="Q33" s="4"/>
      <c r="R33" s="4"/>
      <c r="S33" s="5"/>
      <c r="T33" s="31"/>
      <c r="U33" s="31"/>
    </row>
    <row r="34">
      <c r="A34" s="85" t="s">
        <v>29</v>
      </c>
      <c r="B34" s="86"/>
      <c r="C34" s="86"/>
      <c r="D34" s="86"/>
      <c r="E34" s="86"/>
      <c r="F34" s="86"/>
      <c r="G34" s="86"/>
      <c r="H34" s="86"/>
      <c r="I34" s="86"/>
      <c r="J34" s="86"/>
      <c r="K34" s="86"/>
      <c r="L34" s="86"/>
      <c r="M34" s="86"/>
      <c r="N34" s="86"/>
      <c r="O34" s="86"/>
      <c r="P34" s="4"/>
      <c r="Q34" s="4"/>
      <c r="R34" s="4"/>
      <c r="S34" s="5"/>
      <c r="T34" s="87"/>
      <c r="U34" s="87"/>
    </row>
    <row r="35">
      <c r="A35" s="88" t="s">
        <v>30</v>
      </c>
      <c r="O35" s="86"/>
      <c r="P35" s="89"/>
      <c r="Q35" s="89"/>
      <c r="R35" s="89"/>
      <c r="S35" s="5"/>
      <c r="T35" s="87"/>
      <c r="U35" s="87"/>
    </row>
    <row r="36">
      <c r="A36" s="88" t="s">
        <v>31</v>
      </c>
      <c r="O36" s="86"/>
      <c r="P36" s="4"/>
      <c r="Q36" s="4"/>
      <c r="R36" s="4"/>
      <c r="S36" s="5"/>
      <c r="T36" s="87"/>
      <c r="U36" s="87"/>
    </row>
    <row r="37">
      <c r="A37" s="90" t="s">
        <v>32</v>
      </c>
      <c r="O37" s="86"/>
      <c r="P37" s="4"/>
      <c r="Q37" s="4"/>
      <c r="R37" s="4"/>
      <c r="S37" s="5"/>
      <c r="T37" s="87"/>
      <c r="U37" s="87"/>
    </row>
    <row r="38">
      <c r="A38" s="90" t="s">
        <v>33</v>
      </c>
      <c r="O38" s="86"/>
      <c r="P38" s="4"/>
      <c r="Q38" s="4"/>
      <c r="R38" s="4"/>
      <c r="S38" s="5"/>
      <c r="T38" s="87"/>
      <c r="U38" s="87"/>
    </row>
    <row r="39">
      <c r="A39" s="90" t="s">
        <v>34</v>
      </c>
      <c r="O39" s="86"/>
      <c r="P39" s="4"/>
      <c r="Q39" s="4"/>
      <c r="R39" s="4"/>
      <c r="S39" s="5"/>
      <c r="T39" s="87"/>
      <c r="U39" s="87"/>
    </row>
    <row r="40">
      <c r="A40" s="90" t="s">
        <v>35</v>
      </c>
      <c r="O40" s="86"/>
      <c r="P40" s="4"/>
      <c r="Q40" s="4"/>
      <c r="R40" s="4"/>
      <c r="S40" s="5"/>
      <c r="T40" s="2"/>
      <c r="U40" s="2"/>
    </row>
    <row r="41">
      <c r="A41" s="90" t="s">
        <v>36</v>
      </c>
      <c r="O41" s="86"/>
      <c r="P41" s="4"/>
      <c r="Q41" s="4"/>
      <c r="R41" s="4"/>
      <c r="S41" s="5"/>
      <c r="T41" s="2"/>
      <c r="U41" s="2"/>
    </row>
    <row r="42">
      <c r="A42" s="90" t="s">
        <v>37</v>
      </c>
      <c r="O42" s="86"/>
      <c r="P42" s="4"/>
      <c r="Q42" s="4"/>
      <c r="R42" s="4"/>
      <c r="S42" s="5"/>
      <c r="T42" s="2"/>
      <c r="U42" s="2"/>
    </row>
    <row r="43">
      <c r="A43" s="90"/>
      <c r="P43" s="4"/>
      <c r="Q43" s="4"/>
      <c r="R43" s="4"/>
      <c r="S43" s="5"/>
      <c r="T43" s="2"/>
      <c r="U43" s="2"/>
    </row>
    <row r="44">
      <c r="A44" s="90"/>
      <c r="E44" s="90"/>
      <c r="F44" s="90"/>
      <c r="G44" s="90"/>
      <c r="H44" s="90"/>
      <c r="I44" s="90"/>
      <c r="J44" s="86"/>
      <c r="K44" s="86"/>
      <c r="L44" s="86"/>
      <c r="M44" s="86"/>
      <c r="N44" s="86"/>
      <c r="O44" s="86"/>
      <c r="P44" s="4"/>
      <c r="Q44" s="4"/>
      <c r="R44" s="4"/>
      <c r="S44" s="5"/>
      <c r="T44" s="2"/>
      <c r="U44" s="2"/>
    </row>
    <row r="45">
      <c r="A45" s="91"/>
      <c r="J45" s="92"/>
      <c r="K45" s="92"/>
      <c r="L45" s="92"/>
      <c r="M45" s="92"/>
      <c r="N45" s="92"/>
      <c r="O45" s="2"/>
      <c r="P45" s="4"/>
      <c r="Q45" s="4"/>
      <c r="R45" s="4"/>
      <c r="S45" s="5"/>
      <c r="T45" s="2"/>
      <c r="U45" s="2"/>
    </row>
    <row r="46">
      <c r="A46" s="91"/>
      <c r="J46" s="92"/>
      <c r="K46" s="92"/>
      <c r="L46" s="92"/>
      <c r="M46" s="92"/>
      <c r="N46" s="92"/>
      <c r="O46" s="2"/>
      <c r="P46" s="4"/>
      <c r="Q46" s="4"/>
      <c r="R46" s="4"/>
      <c r="S46" s="5"/>
      <c r="T46" s="2"/>
      <c r="U46" s="2"/>
    </row>
    <row r="47">
      <c r="A47" s="91"/>
      <c r="J47" s="92"/>
      <c r="K47" s="92"/>
      <c r="L47" s="92"/>
      <c r="M47" s="92"/>
      <c r="N47" s="92"/>
      <c r="O47" s="2"/>
      <c r="P47" s="4"/>
      <c r="Q47" s="4"/>
      <c r="R47" s="4"/>
      <c r="S47" s="5"/>
      <c r="T47" s="2"/>
      <c r="U47" s="2"/>
    </row>
    <row r="48">
      <c r="A48" s="2"/>
      <c r="B48" s="2"/>
      <c r="C48" s="2"/>
      <c r="D48" s="2"/>
      <c r="E48" s="2"/>
      <c r="F48" s="2"/>
      <c r="G48" s="2"/>
      <c r="H48" s="2"/>
      <c r="I48" s="2"/>
      <c r="J48" s="2"/>
      <c r="K48" s="2"/>
      <c r="L48" s="2"/>
      <c r="M48" s="2"/>
      <c r="N48" s="2"/>
      <c r="O48" s="2"/>
      <c r="P48" s="4"/>
      <c r="Q48" s="4"/>
      <c r="R48" s="4"/>
      <c r="S48" s="5"/>
      <c r="T48" s="2"/>
      <c r="U48" s="2"/>
    </row>
    <row r="50">
      <c r="B50" s="93">
        <f>SUM(B32/B7)</f>
        <v>161.1987799</v>
      </c>
    </row>
    <row r="52">
      <c r="B52" s="94">
        <f>SUM(B14/B7)</f>
        <v>15.22727273</v>
      </c>
    </row>
    <row r="53">
      <c r="B53" s="94">
        <f>SUM(B15/B7)</f>
        <v>14.54</v>
      </c>
    </row>
    <row r="54">
      <c r="B54" s="94">
        <f>SUM(B16/B7)</f>
        <v>2.1</v>
      </c>
    </row>
    <row r="56">
      <c r="B56" s="94">
        <f>SUM(B50-$B$52-$B$53-$B$55)</f>
        <v>131.4315072</v>
      </c>
      <c r="C56" s="95" t="s">
        <v>38</v>
      </c>
    </row>
    <row r="59">
      <c r="B59" s="95" t="s">
        <v>39</v>
      </c>
    </row>
  </sheetData>
  <mergeCells count="18">
    <mergeCell ref="A2:N2"/>
    <mergeCell ref="A3:N3"/>
    <mergeCell ref="A4:N4"/>
    <mergeCell ref="A5:N5"/>
    <mergeCell ref="T31:U31"/>
    <mergeCell ref="A35:N35"/>
    <mergeCell ref="A36:N36"/>
    <mergeCell ref="A44:D44"/>
    <mergeCell ref="A45:I45"/>
    <mergeCell ref="A46:I46"/>
    <mergeCell ref="A47:I47"/>
    <mergeCell ref="A37:N37"/>
    <mergeCell ref="A38:N38"/>
    <mergeCell ref="A39:N39"/>
    <mergeCell ref="A40:N40"/>
    <mergeCell ref="A41:N41"/>
    <mergeCell ref="A42:N42"/>
    <mergeCell ref="A43:O4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41.88"/>
    <col customWidth="1" min="5" max="5" width="12.63"/>
    <col customWidth="1" min="6" max="6" width="4.88"/>
    <col customWidth="1" min="7" max="7" width="21.75"/>
    <col customWidth="1" min="8" max="8" width="2.0"/>
    <col customWidth="1" min="9" max="20" width="13.25"/>
    <col customWidth="1" min="21" max="21" width="5.38"/>
    <col customWidth="1" min="22" max="22" width="30.13"/>
  </cols>
  <sheetData>
    <row r="1">
      <c r="A1" s="96" t="s">
        <v>40</v>
      </c>
      <c r="U1" s="97"/>
      <c r="V1" s="98"/>
      <c r="W1" s="99"/>
      <c r="X1" s="99"/>
      <c r="Y1" s="99"/>
      <c r="Z1" s="99"/>
    </row>
    <row r="2">
      <c r="A2" s="100"/>
      <c r="B2" s="101" t="s">
        <v>41</v>
      </c>
      <c r="F2" s="102"/>
      <c r="G2" s="102"/>
      <c r="H2" s="102"/>
      <c r="I2" s="102">
        <v>2025.0</v>
      </c>
      <c r="U2" s="97"/>
      <c r="V2" s="98"/>
      <c r="W2" s="99"/>
      <c r="X2" s="99"/>
      <c r="Y2" s="99"/>
      <c r="Z2" s="99"/>
    </row>
    <row r="3">
      <c r="A3" s="100"/>
      <c r="B3" s="103"/>
      <c r="C3" s="104" t="s">
        <v>42</v>
      </c>
      <c r="D3" s="104" t="s">
        <v>43</v>
      </c>
      <c r="E3" s="105" t="s">
        <v>44</v>
      </c>
      <c r="F3" s="104"/>
      <c r="G3" s="104"/>
      <c r="H3" s="104"/>
      <c r="I3" s="106" t="s">
        <v>45</v>
      </c>
      <c r="J3" s="106" t="s">
        <v>46</v>
      </c>
      <c r="K3" s="106" t="s">
        <v>47</v>
      </c>
      <c r="L3" s="106" t="s">
        <v>48</v>
      </c>
      <c r="M3" s="106" t="s">
        <v>49</v>
      </c>
      <c r="N3" s="106" t="s">
        <v>50</v>
      </c>
      <c r="O3" s="106" t="s">
        <v>51</v>
      </c>
      <c r="P3" s="106" t="s">
        <v>52</v>
      </c>
      <c r="Q3" s="106" t="s">
        <v>53</v>
      </c>
      <c r="R3" s="106" t="s">
        <v>54</v>
      </c>
      <c r="S3" s="106" t="s">
        <v>55</v>
      </c>
      <c r="T3" s="106" t="s">
        <v>56</v>
      </c>
      <c r="V3" s="98"/>
      <c r="W3" s="107">
        <v>2025.0</v>
      </c>
      <c r="X3" s="99"/>
      <c r="Y3" s="99"/>
      <c r="Z3" s="99"/>
    </row>
    <row r="4">
      <c r="A4" s="108"/>
      <c r="B4" s="109" t="s">
        <v>57</v>
      </c>
      <c r="C4" s="110"/>
      <c r="D4" s="110"/>
      <c r="E4" s="108"/>
      <c r="F4" s="108"/>
      <c r="G4" s="108"/>
      <c r="H4" s="108"/>
      <c r="I4" s="111">
        <v>176.0</v>
      </c>
      <c r="J4" s="112">
        <v>160.0</v>
      </c>
      <c r="K4" s="112">
        <v>176.0</v>
      </c>
      <c r="L4" s="112">
        <v>176.0</v>
      </c>
      <c r="M4" s="112">
        <v>168.0</v>
      </c>
      <c r="N4" s="112">
        <v>176.0</v>
      </c>
      <c r="O4" s="112">
        <v>184.0</v>
      </c>
      <c r="P4" s="112">
        <v>168.0</v>
      </c>
      <c r="Q4" s="112">
        <v>176.0</v>
      </c>
      <c r="R4" s="111">
        <v>176.0</v>
      </c>
      <c r="S4" s="112">
        <v>168.0</v>
      </c>
      <c r="T4" s="112">
        <v>184.0</v>
      </c>
      <c r="V4" s="113" t="s">
        <v>58</v>
      </c>
      <c r="W4" s="114">
        <f>SUM(I4:T4)</f>
        <v>2088</v>
      </c>
      <c r="X4" s="115"/>
      <c r="Y4" s="115"/>
      <c r="Z4" s="106" t="s">
        <v>53</v>
      </c>
      <c r="AA4" s="106" t="s">
        <v>54</v>
      </c>
      <c r="AB4" s="106" t="s">
        <v>55</v>
      </c>
      <c r="AC4" s="106" t="s">
        <v>56</v>
      </c>
    </row>
    <row r="5">
      <c r="A5" s="108"/>
      <c r="B5" s="109" t="s">
        <v>59</v>
      </c>
      <c r="C5" s="116">
        <v>93.35</v>
      </c>
      <c r="D5" s="117">
        <v>97.92</v>
      </c>
      <c r="E5" s="108"/>
      <c r="F5" s="110"/>
      <c r="G5" s="110"/>
      <c r="H5" s="110"/>
      <c r="I5" s="118">
        <f t="shared" ref="I5:P5" si="1">$C$5</f>
        <v>93.35</v>
      </c>
      <c r="J5" s="118">
        <f t="shared" si="1"/>
        <v>93.35</v>
      </c>
      <c r="K5" s="118">
        <f t="shared" si="1"/>
        <v>93.35</v>
      </c>
      <c r="L5" s="118">
        <f t="shared" si="1"/>
        <v>93.35</v>
      </c>
      <c r="M5" s="118">
        <f t="shared" si="1"/>
        <v>93.35</v>
      </c>
      <c r="N5" s="118">
        <f t="shared" si="1"/>
        <v>93.35</v>
      </c>
      <c r="O5" s="118">
        <f t="shared" si="1"/>
        <v>93.35</v>
      </c>
      <c r="P5" s="118">
        <f t="shared" si="1"/>
        <v>93.35</v>
      </c>
      <c r="Q5" s="118">
        <f t="shared" ref="Q5:T5" si="2">$D$5</f>
        <v>97.92</v>
      </c>
      <c r="R5" s="118">
        <f t="shared" si="2"/>
        <v>97.92</v>
      </c>
      <c r="S5" s="118">
        <f t="shared" si="2"/>
        <v>97.92</v>
      </c>
      <c r="T5" s="118">
        <f t="shared" si="2"/>
        <v>97.92</v>
      </c>
      <c r="V5" s="113"/>
      <c r="W5" s="114"/>
      <c r="X5" s="104"/>
      <c r="Y5" s="104"/>
      <c r="Z5" s="104"/>
    </row>
    <row r="6">
      <c r="A6" s="119"/>
      <c r="C6" s="118"/>
      <c r="D6" s="118"/>
      <c r="F6" s="119"/>
      <c r="G6" s="120" t="s">
        <v>60</v>
      </c>
      <c r="H6" s="121"/>
      <c r="I6" s="122">
        <f t="shared" ref="I6:T6" si="3">I5*I4</f>
        <v>16429.6</v>
      </c>
      <c r="J6" s="122">
        <f t="shared" si="3"/>
        <v>14936</v>
      </c>
      <c r="K6" s="122">
        <f t="shared" si="3"/>
        <v>16429.6</v>
      </c>
      <c r="L6" s="122">
        <f t="shared" si="3"/>
        <v>16429.6</v>
      </c>
      <c r="M6" s="122">
        <f t="shared" si="3"/>
        <v>15682.8</v>
      </c>
      <c r="N6" s="122">
        <f t="shared" si="3"/>
        <v>16429.6</v>
      </c>
      <c r="O6" s="122">
        <f t="shared" si="3"/>
        <v>17176.4</v>
      </c>
      <c r="P6" s="122">
        <f t="shared" si="3"/>
        <v>15682.8</v>
      </c>
      <c r="Q6" s="122">
        <f t="shared" si="3"/>
        <v>17233.92</v>
      </c>
      <c r="R6" s="122">
        <f t="shared" si="3"/>
        <v>17233.92</v>
      </c>
      <c r="S6" s="122">
        <f t="shared" si="3"/>
        <v>16450.56</v>
      </c>
      <c r="T6" s="123">
        <f t="shared" si="3"/>
        <v>18017.28</v>
      </c>
      <c r="V6" s="124" t="s">
        <v>61</v>
      </c>
      <c r="W6" s="125">
        <f>SUM(I6:T6)</f>
        <v>198132.08</v>
      </c>
      <c r="X6" s="126"/>
      <c r="Y6" s="126"/>
      <c r="Z6" s="126"/>
    </row>
    <row r="7">
      <c r="A7" s="108"/>
      <c r="B7" s="108"/>
      <c r="C7" s="110"/>
      <c r="D7" s="110"/>
      <c r="E7" s="108"/>
      <c r="F7" s="108"/>
      <c r="G7" s="109"/>
      <c r="H7" s="108"/>
      <c r="I7" s="110"/>
      <c r="J7" s="110"/>
      <c r="K7" s="127"/>
      <c r="L7" s="127"/>
      <c r="M7" s="127"/>
      <c r="N7" s="127"/>
      <c r="O7" s="127"/>
      <c r="P7" s="127"/>
      <c r="Q7" s="110"/>
      <c r="R7" s="110"/>
      <c r="S7" s="110"/>
      <c r="T7" s="110"/>
      <c r="V7" s="113"/>
      <c r="W7" s="114"/>
      <c r="X7" s="126"/>
      <c r="Y7" s="126"/>
      <c r="Z7" s="126"/>
    </row>
    <row r="8">
      <c r="A8" s="108"/>
      <c r="B8" s="110" t="s">
        <v>62</v>
      </c>
      <c r="C8" s="128">
        <f>SUM(C9:C15)</f>
        <v>0.16542</v>
      </c>
      <c r="D8" s="110"/>
      <c r="E8" s="108"/>
      <c r="F8" s="108"/>
      <c r="G8" s="109"/>
      <c r="H8" s="108"/>
      <c r="I8" s="110"/>
      <c r="J8" s="118"/>
      <c r="K8" s="127"/>
      <c r="L8" s="127"/>
      <c r="M8" s="127"/>
      <c r="N8" s="127"/>
      <c r="O8" s="127"/>
      <c r="P8" s="127"/>
      <c r="Q8" s="118"/>
      <c r="R8" s="118"/>
      <c r="S8" s="118"/>
      <c r="T8" s="110"/>
      <c r="V8" s="113"/>
      <c r="W8" s="114"/>
      <c r="X8" s="126"/>
      <c r="Y8" s="126"/>
      <c r="Z8" s="126"/>
    </row>
    <row r="9">
      <c r="A9" s="129"/>
      <c r="B9" s="130" t="s">
        <v>63</v>
      </c>
      <c r="C9" s="131">
        <v>0.06201</v>
      </c>
      <c r="D9" s="128"/>
      <c r="E9" s="129"/>
      <c r="F9" s="129"/>
      <c r="G9" s="132"/>
      <c r="H9" s="129"/>
      <c r="I9" s="129"/>
      <c r="J9" s="110"/>
      <c r="K9" s="127"/>
      <c r="L9" s="127"/>
      <c r="M9" s="127"/>
      <c r="N9" s="127"/>
      <c r="O9" s="127"/>
      <c r="P9" s="127"/>
      <c r="Q9" s="110"/>
      <c r="R9" s="110"/>
      <c r="S9" s="110"/>
      <c r="T9" s="110"/>
      <c r="V9" s="133"/>
      <c r="W9" s="114"/>
      <c r="X9" s="126"/>
      <c r="Y9" s="126"/>
      <c r="Z9" s="126"/>
    </row>
    <row r="10">
      <c r="A10" s="108"/>
      <c r="B10" s="130" t="s">
        <v>64</v>
      </c>
      <c r="C10" s="131">
        <v>0.0145</v>
      </c>
      <c r="D10" s="128"/>
      <c r="E10" s="108"/>
      <c r="F10" s="108"/>
      <c r="G10" s="109"/>
      <c r="H10" s="108"/>
      <c r="I10" s="110"/>
      <c r="J10" s="110"/>
      <c r="K10" s="127"/>
      <c r="L10" s="127"/>
      <c r="M10" s="127"/>
      <c r="N10" s="127"/>
      <c r="O10" s="127"/>
      <c r="P10" s="127"/>
      <c r="Q10" s="110"/>
      <c r="R10" s="110"/>
      <c r="S10" s="110"/>
      <c r="T10" s="110"/>
      <c r="V10" s="133"/>
      <c r="W10" s="114"/>
      <c r="X10" s="126"/>
      <c r="Y10" s="126"/>
      <c r="Z10" s="126"/>
    </row>
    <row r="11">
      <c r="A11" s="99"/>
      <c r="B11" s="130" t="s">
        <v>65</v>
      </c>
      <c r="C11" s="131">
        <v>0.006</v>
      </c>
      <c r="D11" s="128"/>
      <c r="E11" s="99"/>
      <c r="F11" s="99"/>
      <c r="G11" s="132"/>
      <c r="H11" s="99"/>
      <c r="I11" s="97"/>
      <c r="J11" s="129"/>
      <c r="K11" s="127"/>
      <c r="L11" s="127"/>
      <c r="M11" s="127"/>
      <c r="N11" s="127"/>
      <c r="O11" s="127"/>
      <c r="P11" s="127"/>
      <c r="Q11" s="129"/>
      <c r="R11" s="129"/>
      <c r="S11" s="129"/>
      <c r="T11" s="110"/>
      <c r="V11" s="133"/>
      <c r="W11" s="114"/>
      <c r="X11" s="99"/>
      <c r="Y11" s="99"/>
      <c r="Z11" s="99"/>
    </row>
    <row r="12">
      <c r="A12" s="134"/>
      <c r="B12" s="130" t="s">
        <v>66</v>
      </c>
      <c r="C12" s="131">
        <v>0.034</v>
      </c>
      <c r="D12" s="128"/>
      <c r="E12" s="134"/>
      <c r="F12" s="134"/>
      <c r="G12" s="135"/>
      <c r="H12" s="134"/>
      <c r="I12" s="136"/>
      <c r="J12" s="110"/>
      <c r="K12" s="127"/>
      <c r="L12" s="127"/>
      <c r="M12" s="127"/>
      <c r="N12" s="127"/>
      <c r="O12" s="127"/>
      <c r="P12" s="127"/>
      <c r="Q12" s="110"/>
      <c r="R12" s="110"/>
      <c r="S12" s="110"/>
      <c r="T12" s="110"/>
      <c r="V12" s="133"/>
      <c r="W12" s="114"/>
      <c r="X12" s="137"/>
      <c r="Y12" s="128"/>
      <c r="Z12" s="110"/>
    </row>
    <row r="13">
      <c r="A13" s="134"/>
      <c r="B13" s="130" t="s">
        <v>67</v>
      </c>
      <c r="C13" s="131">
        <v>0.00101</v>
      </c>
      <c r="D13" s="128"/>
      <c r="E13" s="134"/>
      <c r="F13" s="134"/>
      <c r="G13" s="135"/>
      <c r="H13" s="134"/>
      <c r="I13" s="136"/>
      <c r="J13" s="97"/>
      <c r="K13" s="127"/>
      <c r="L13" s="127"/>
      <c r="M13" s="127"/>
      <c r="N13" s="127"/>
      <c r="O13" s="127"/>
      <c r="P13" s="127"/>
      <c r="Q13" s="97"/>
      <c r="R13" s="97"/>
      <c r="S13" s="97"/>
      <c r="T13" s="110"/>
      <c r="V13" s="133"/>
      <c r="W13" s="114"/>
      <c r="X13" s="99"/>
      <c r="Y13" s="99"/>
      <c r="Z13" s="99"/>
    </row>
    <row r="14">
      <c r="A14" s="134"/>
      <c r="B14" s="130" t="s">
        <v>68</v>
      </c>
      <c r="C14" s="131">
        <v>0.0379</v>
      </c>
      <c r="D14" s="128"/>
      <c r="E14" s="134"/>
      <c r="F14" s="134"/>
      <c r="G14" s="135"/>
      <c r="H14" s="134"/>
      <c r="I14" s="136"/>
      <c r="J14" s="136"/>
      <c r="K14" s="127"/>
      <c r="L14" s="127"/>
      <c r="M14" s="127"/>
      <c r="N14" s="127"/>
      <c r="O14" s="127"/>
      <c r="P14" s="127"/>
      <c r="Q14" s="136"/>
      <c r="R14" s="136"/>
      <c r="S14" s="136"/>
      <c r="T14" s="110"/>
      <c r="V14" s="133"/>
      <c r="W14" s="114"/>
      <c r="X14" s="99"/>
      <c r="Y14" s="99"/>
      <c r="Z14" s="99"/>
    </row>
    <row r="15">
      <c r="A15" s="134"/>
      <c r="B15" s="138" t="s">
        <v>69</v>
      </c>
      <c r="C15" s="139">
        <v>0.01</v>
      </c>
      <c r="D15" s="128"/>
      <c r="E15" s="134"/>
      <c r="F15" s="134"/>
      <c r="G15" s="135"/>
      <c r="H15" s="134"/>
      <c r="I15" s="136"/>
      <c r="J15" s="136"/>
      <c r="K15" s="127"/>
      <c r="L15" s="127"/>
      <c r="M15" s="127"/>
      <c r="N15" s="127"/>
      <c r="O15" s="127"/>
      <c r="P15" s="127"/>
      <c r="Q15" s="136"/>
      <c r="R15" s="136"/>
      <c r="S15" s="136"/>
      <c r="T15" s="110"/>
      <c r="V15" s="140"/>
      <c r="W15" s="114"/>
      <c r="X15" s="99"/>
      <c r="Y15" s="99"/>
      <c r="Z15" s="99"/>
    </row>
    <row r="16">
      <c r="A16" s="134"/>
      <c r="B16" s="141" t="s">
        <v>70</v>
      </c>
      <c r="C16" s="128">
        <f>(I19-I18)/I19</f>
        <v>0.2807826087</v>
      </c>
      <c r="D16" s="128"/>
      <c r="E16" s="134"/>
      <c r="F16" s="134"/>
      <c r="G16" s="135"/>
      <c r="H16" s="134"/>
      <c r="I16" s="136"/>
      <c r="J16" s="136"/>
      <c r="K16" s="127"/>
      <c r="L16" s="127"/>
      <c r="M16" s="127"/>
      <c r="N16" s="127"/>
      <c r="O16" s="127"/>
      <c r="P16" s="127"/>
      <c r="Q16" s="136"/>
      <c r="R16" s="136"/>
      <c r="S16" s="136"/>
      <c r="T16" s="110"/>
      <c r="V16" s="140"/>
      <c r="W16" s="114"/>
      <c r="X16" s="99"/>
      <c r="Y16" s="99"/>
      <c r="Z16" s="99"/>
    </row>
    <row r="17">
      <c r="A17" s="142"/>
      <c r="C17" s="109"/>
      <c r="D17" s="109"/>
      <c r="E17" s="143">
        <v>0.23</v>
      </c>
      <c r="F17" s="142"/>
      <c r="G17" s="109"/>
      <c r="H17" s="142"/>
      <c r="I17" s="144"/>
      <c r="J17" s="144"/>
      <c r="K17" s="144"/>
      <c r="L17" s="144"/>
      <c r="M17" s="144"/>
      <c r="N17" s="144"/>
      <c r="O17" s="144"/>
      <c r="P17" s="144"/>
      <c r="Q17" s="144"/>
      <c r="R17" s="144"/>
      <c r="S17" s="144"/>
      <c r="T17" s="144"/>
      <c r="V17" s="113"/>
      <c r="W17" s="114"/>
      <c r="X17" s="137"/>
      <c r="Y17" s="128"/>
      <c r="Z17" s="110"/>
    </row>
    <row r="18">
      <c r="A18" s="134"/>
      <c r="C18" s="127"/>
      <c r="D18" s="127"/>
      <c r="F18" s="134"/>
      <c r="G18" s="135" t="s">
        <v>71</v>
      </c>
      <c r="H18" s="134"/>
      <c r="I18" s="136">
        <f t="shared" ref="I18:T18" si="4">(I6*$C$8)</f>
        <v>2717.784432</v>
      </c>
      <c r="J18" s="136">
        <f t="shared" si="4"/>
        <v>2470.71312</v>
      </c>
      <c r="K18" s="136">
        <f t="shared" si="4"/>
        <v>2717.784432</v>
      </c>
      <c r="L18" s="136">
        <f t="shared" si="4"/>
        <v>2717.784432</v>
      </c>
      <c r="M18" s="136">
        <f t="shared" si="4"/>
        <v>2594.248776</v>
      </c>
      <c r="N18" s="136">
        <f t="shared" si="4"/>
        <v>2717.784432</v>
      </c>
      <c r="O18" s="136">
        <f t="shared" si="4"/>
        <v>2841.320088</v>
      </c>
      <c r="P18" s="136">
        <f t="shared" si="4"/>
        <v>2594.248776</v>
      </c>
      <c r="Q18" s="136">
        <f t="shared" si="4"/>
        <v>2850.835046</v>
      </c>
      <c r="R18" s="136">
        <f t="shared" si="4"/>
        <v>2850.835046</v>
      </c>
      <c r="S18" s="136">
        <f t="shared" si="4"/>
        <v>2721.251635</v>
      </c>
      <c r="T18" s="136">
        <f t="shared" si="4"/>
        <v>2980.418458</v>
      </c>
      <c r="V18" s="145" t="s">
        <v>71</v>
      </c>
      <c r="W18" s="146">
        <f t="shared" ref="W18:W19" si="6">SUM(I18:T18)</f>
        <v>32775.00867</v>
      </c>
      <c r="X18" s="99"/>
      <c r="Y18" s="99"/>
      <c r="Z18" s="99"/>
    </row>
    <row r="19">
      <c r="A19" s="134"/>
      <c r="B19" s="147"/>
      <c r="C19" s="136"/>
      <c r="D19" s="136"/>
      <c r="E19" s="127"/>
      <c r="F19" s="135"/>
      <c r="G19" s="148" t="s">
        <v>72</v>
      </c>
      <c r="H19" s="149"/>
      <c r="I19" s="150">
        <f t="shared" ref="I19:T19" si="5">I6*$E$17</f>
        <v>3778.808</v>
      </c>
      <c r="J19" s="150">
        <f t="shared" si="5"/>
        <v>3435.28</v>
      </c>
      <c r="K19" s="150">
        <f t="shared" si="5"/>
        <v>3778.808</v>
      </c>
      <c r="L19" s="150">
        <f t="shared" si="5"/>
        <v>3778.808</v>
      </c>
      <c r="M19" s="150">
        <f t="shared" si="5"/>
        <v>3607.044</v>
      </c>
      <c r="N19" s="150">
        <f t="shared" si="5"/>
        <v>3778.808</v>
      </c>
      <c r="O19" s="150">
        <f t="shared" si="5"/>
        <v>3950.572</v>
      </c>
      <c r="P19" s="150">
        <f t="shared" si="5"/>
        <v>3607.044</v>
      </c>
      <c r="Q19" s="150">
        <f t="shared" si="5"/>
        <v>3963.8016</v>
      </c>
      <c r="R19" s="150">
        <f t="shared" si="5"/>
        <v>3963.8016</v>
      </c>
      <c r="S19" s="150">
        <f t="shared" si="5"/>
        <v>3783.6288</v>
      </c>
      <c r="T19" s="151">
        <f t="shared" si="5"/>
        <v>4143.9744</v>
      </c>
      <c r="V19" s="124" t="s">
        <v>73</v>
      </c>
      <c r="W19" s="146">
        <f t="shared" si="6"/>
        <v>45570.3784</v>
      </c>
      <c r="X19" s="99"/>
      <c r="Y19" s="99"/>
      <c r="Z19" s="99"/>
    </row>
    <row r="20">
      <c r="A20" s="134"/>
      <c r="C20" s="136"/>
      <c r="D20" s="136"/>
      <c r="E20" s="127"/>
      <c r="F20" s="134"/>
      <c r="G20" s="135"/>
      <c r="H20" s="134"/>
      <c r="I20" s="136"/>
      <c r="J20" s="136"/>
      <c r="K20" s="127"/>
      <c r="L20" s="127"/>
      <c r="M20" s="127"/>
      <c r="N20" s="127"/>
      <c r="O20" s="127"/>
      <c r="P20" s="127"/>
      <c r="Q20" s="136"/>
      <c r="R20" s="136"/>
      <c r="S20" s="136"/>
      <c r="T20" s="110"/>
      <c r="V20" s="145" t="s">
        <v>74</v>
      </c>
      <c r="W20" s="152">
        <f>AVERAGE(I21:T21)</f>
        <v>0.16542</v>
      </c>
      <c r="X20" s="99"/>
      <c r="Y20" s="99"/>
      <c r="Z20" s="99"/>
    </row>
    <row r="21">
      <c r="A21" s="134"/>
      <c r="B21" s="134"/>
      <c r="C21" s="136"/>
      <c r="D21" s="136"/>
      <c r="E21" s="127"/>
      <c r="F21" s="135"/>
      <c r="G21" s="135" t="s">
        <v>74</v>
      </c>
      <c r="H21" s="134"/>
      <c r="I21" s="153">
        <f t="shared" ref="I21:T21" si="7">I18/I6</f>
        <v>0.16542</v>
      </c>
      <c r="J21" s="153">
        <f t="shared" si="7"/>
        <v>0.16542</v>
      </c>
      <c r="K21" s="153">
        <f t="shared" si="7"/>
        <v>0.16542</v>
      </c>
      <c r="L21" s="153">
        <f t="shared" si="7"/>
        <v>0.16542</v>
      </c>
      <c r="M21" s="153">
        <f t="shared" si="7"/>
        <v>0.16542</v>
      </c>
      <c r="N21" s="153">
        <f t="shared" si="7"/>
        <v>0.16542</v>
      </c>
      <c r="O21" s="153">
        <f t="shared" si="7"/>
        <v>0.16542</v>
      </c>
      <c r="P21" s="153">
        <f t="shared" si="7"/>
        <v>0.16542</v>
      </c>
      <c r="Q21" s="153">
        <f t="shared" si="7"/>
        <v>0.16542</v>
      </c>
      <c r="R21" s="153">
        <f t="shared" si="7"/>
        <v>0.16542</v>
      </c>
      <c r="S21" s="153">
        <f t="shared" si="7"/>
        <v>0.16542</v>
      </c>
      <c r="T21" s="153">
        <f t="shared" si="7"/>
        <v>0.16542</v>
      </c>
      <c r="V21" s="140"/>
      <c r="W21" s="114"/>
      <c r="X21" s="99"/>
      <c r="Y21" s="99"/>
      <c r="Z21" s="99"/>
    </row>
    <row r="22">
      <c r="A22" s="154"/>
      <c r="B22" s="110" t="s">
        <v>75</v>
      </c>
      <c r="C22" s="155"/>
      <c r="D22" s="155" t="s">
        <v>76</v>
      </c>
      <c r="E22" s="155"/>
      <c r="F22" s="154"/>
      <c r="G22" s="135"/>
      <c r="H22" s="154"/>
      <c r="I22" s="155"/>
      <c r="J22" s="136"/>
      <c r="K22" s="127"/>
      <c r="L22" s="127"/>
      <c r="M22" s="127"/>
      <c r="N22" s="127"/>
      <c r="O22" s="127"/>
      <c r="P22" s="127"/>
      <c r="Q22" s="136"/>
      <c r="R22" s="136"/>
      <c r="S22" s="136"/>
      <c r="T22" s="110"/>
      <c r="V22" s="113"/>
      <c r="W22" s="114"/>
      <c r="X22" s="99"/>
      <c r="Y22" s="99"/>
      <c r="Z22" s="99"/>
    </row>
    <row r="23">
      <c r="A23" s="126"/>
      <c r="B23" s="130" t="s">
        <v>77</v>
      </c>
      <c r="C23" s="156">
        <v>2680.0</v>
      </c>
      <c r="D23" s="157"/>
      <c r="E23" s="129"/>
      <c r="F23" s="126"/>
      <c r="G23" s="132"/>
      <c r="H23" s="126"/>
      <c r="I23" s="158">
        <f t="shared" ref="I23:T23" si="8">$C$23</f>
        <v>2680</v>
      </c>
      <c r="J23" s="158">
        <f t="shared" si="8"/>
        <v>2680</v>
      </c>
      <c r="K23" s="158">
        <f t="shared" si="8"/>
        <v>2680</v>
      </c>
      <c r="L23" s="158">
        <f t="shared" si="8"/>
        <v>2680</v>
      </c>
      <c r="M23" s="158">
        <f t="shared" si="8"/>
        <v>2680</v>
      </c>
      <c r="N23" s="158">
        <f t="shared" si="8"/>
        <v>2680</v>
      </c>
      <c r="O23" s="158">
        <f t="shared" si="8"/>
        <v>2680</v>
      </c>
      <c r="P23" s="158">
        <f t="shared" si="8"/>
        <v>2680</v>
      </c>
      <c r="Q23" s="158">
        <f t="shared" si="8"/>
        <v>2680</v>
      </c>
      <c r="R23" s="158">
        <f t="shared" si="8"/>
        <v>2680</v>
      </c>
      <c r="S23" s="158">
        <f t="shared" si="8"/>
        <v>2680</v>
      </c>
      <c r="T23" s="158">
        <f t="shared" si="8"/>
        <v>2680</v>
      </c>
      <c r="V23" s="113" t="s">
        <v>78</v>
      </c>
      <c r="W23" s="146">
        <f t="shared" ref="W23:W27" si="11">SUM(I23:T23)</f>
        <v>32160</v>
      </c>
      <c r="X23" s="99"/>
      <c r="Y23" s="99"/>
      <c r="Z23" s="99"/>
    </row>
    <row r="24">
      <c r="A24" s="159"/>
      <c r="B24" s="130" t="s">
        <v>12</v>
      </c>
      <c r="C24" s="156">
        <v>14.54</v>
      </c>
      <c r="D24" s="156">
        <v>15.41</v>
      </c>
      <c r="E24" s="160"/>
      <c r="F24" s="159"/>
      <c r="G24" s="161"/>
      <c r="H24" s="159"/>
      <c r="I24" s="162">
        <f t="shared" ref="I24:P24" si="9">$C$24*I4</f>
        <v>2559.04</v>
      </c>
      <c r="J24" s="162">
        <f t="shared" si="9"/>
        <v>2326.4</v>
      </c>
      <c r="K24" s="162">
        <f t="shared" si="9"/>
        <v>2559.04</v>
      </c>
      <c r="L24" s="162">
        <f t="shared" si="9"/>
        <v>2559.04</v>
      </c>
      <c r="M24" s="162">
        <f t="shared" si="9"/>
        <v>2442.72</v>
      </c>
      <c r="N24" s="162">
        <f t="shared" si="9"/>
        <v>2559.04</v>
      </c>
      <c r="O24" s="162">
        <f t="shared" si="9"/>
        <v>2675.36</v>
      </c>
      <c r="P24" s="162">
        <f t="shared" si="9"/>
        <v>2442.72</v>
      </c>
      <c r="Q24" s="162">
        <f t="shared" ref="Q24:T24" si="10">$D$24*Q4</f>
        <v>2712.16</v>
      </c>
      <c r="R24" s="162">
        <f t="shared" si="10"/>
        <v>2712.16</v>
      </c>
      <c r="S24" s="162">
        <f t="shared" si="10"/>
        <v>2588.88</v>
      </c>
      <c r="T24" s="162">
        <f t="shared" si="10"/>
        <v>2835.44</v>
      </c>
      <c r="V24" s="113" t="s">
        <v>12</v>
      </c>
      <c r="W24" s="146">
        <f t="shared" si="11"/>
        <v>30972</v>
      </c>
      <c r="X24" s="137"/>
      <c r="Y24" s="128"/>
      <c r="Z24" s="110"/>
    </row>
    <row r="25">
      <c r="A25" s="98"/>
      <c r="B25" s="130" t="s">
        <v>13</v>
      </c>
      <c r="C25" s="156">
        <v>2.1</v>
      </c>
      <c r="D25" s="156">
        <v>2.1</v>
      </c>
      <c r="E25" s="97"/>
      <c r="F25" s="98"/>
      <c r="G25" s="132"/>
      <c r="H25" s="98"/>
      <c r="I25" s="162">
        <f t="shared" ref="I25:P25" si="12">$C$25*I4</f>
        <v>369.6</v>
      </c>
      <c r="J25" s="162">
        <f t="shared" si="12"/>
        <v>336</v>
      </c>
      <c r="K25" s="162">
        <f t="shared" si="12"/>
        <v>369.6</v>
      </c>
      <c r="L25" s="162">
        <f t="shared" si="12"/>
        <v>369.6</v>
      </c>
      <c r="M25" s="162">
        <f t="shared" si="12"/>
        <v>352.8</v>
      </c>
      <c r="N25" s="162">
        <f t="shared" si="12"/>
        <v>369.6</v>
      </c>
      <c r="O25" s="162">
        <f t="shared" si="12"/>
        <v>386.4</v>
      </c>
      <c r="P25" s="162">
        <f t="shared" si="12"/>
        <v>352.8</v>
      </c>
      <c r="Q25" s="162">
        <f t="shared" ref="Q25:T25" si="13">$D$25*Q4</f>
        <v>369.6</v>
      </c>
      <c r="R25" s="162">
        <f t="shared" si="13"/>
        <v>369.6</v>
      </c>
      <c r="S25" s="162">
        <f t="shared" si="13"/>
        <v>352.8</v>
      </c>
      <c r="T25" s="162">
        <f t="shared" si="13"/>
        <v>386.4</v>
      </c>
      <c r="V25" s="113" t="s">
        <v>13</v>
      </c>
      <c r="W25" s="146">
        <f t="shared" si="11"/>
        <v>4384.8</v>
      </c>
      <c r="X25" s="99"/>
      <c r="Y25" s="99"/>
      <c r="Z25" s="99"/>
    </row>
    <row r="26">
      <c r="A26" s="98"/>
      <c r="B26" s="130" t="s">
        <v>79</v>
      </c>
      <c r="C26" s="156">
        <v>1115.0</v>
      </c>
      <c r="D26" s="136"/>
      <c r="E26" s="97"/>
      <c r="F26" s="98"/>
      <c r="G26" s="132"/>
      <c r="H26" s="98"/>
      <c r="I26" s="162">
        <v>1115.0</v>
      </c>
      <c r="J26" s="97"/>
      <c r="K26" s="97"/>
      <c r="L26" s="97"/>
      <c r="M26" s="162"/>
      <c r="N26" s="97"/>
      <c r="O26" s="97"/>
      <c r="P26" s="97"/>
      <c r="Q26" s="97"/>
      <c r="R26" s="97"/>
      <c r="S26" s="97"/>
      <c r="T26" s="97"/>
      <c r="V26" s="113" t="s">
        <v>14</v>
      </c>
      <c r="W26" s="146">
        <f t="shared" si="11"/>
        <v>1115</v>
      </c>
      <c r="X26" s="163"/>
      <c r="Y26" s="163"/>
      <c r="Z26" s="163"/>
    </row>
    <row r="27">
      <c r="A27" s="164"/>
      <c r="B27" s="130" t="s">
        <v>15</v>
      </c>
      <c r="C27" s="156">
        <v>104.0</v>
      </c>
      <c r="D27" s="136"/>
      <c r="E27" s="165"/>
      <c r="F27" s="164"/>
      <c r="G27" s="166"/>
      <c r="H27" s="164"/>
      <c r="I27" s="162">
        <v>104.0</v>
      </c>
      <c r="J27" s="165"/>
      <c r="K27" s="165"/>
      <c r="L27" s="165"/>
      <c r="M27" s="162"/>
      <c r="N27" s="165"/>
      <c r="O27" s="165"/>
      <c r="P27" s="165"/>
      <c r="Q27" s="165"/>
      <c r="R27" s="97"/>
      <c r="S27" s="165"/>
      <c r="T27" s="165"/>
      <c r="V27" s="113" t="s">
        <v>15</v>
      </c>
      <c r="W27" s="146">
        <f t="shared" si="11"/>
        <v>104</v>
      </c>
      <c r="X27" s="99"/>
      <c r="Y27" s="99"/>
      <c r="Z27" s="99"/>
    </row>
    <row r="28">
      <c r="A28" s="164"/>
      <c r="B28" s="130"/>
      <c r="C28" s="136"/>
      <c r="D28" s="136"/>
      <c r="E28" s="153"/>
      <c r="F28" s="164"/>
      <c r="G28" s="166"/>
      <c r="H28" s="164"/>
      <c r="I28" s="136" t="str">
        <f t="shared" ref="I28:T28" si="14">$C$28</f>
        <v/>
      </c>
      <c r="J28" s="136" t="str">
        <f t="shared" si="14"/>
        <v/>
      </c>
      <c r="K28" s="136" t="str">
        <f t="shared" si="14"/>
        <v/>
      </c>
      <c r="L28" s="136" t="str">
        <f t="shared" si="14"/>
        <v/>
      </c>
      <c r="M28" s="136" t="str">
        <f t="shared" si="14"/>
        <v/>
      </c>
      <c r="N28" s="136" t="str">
        <f t="shared" si="14"/>
        <v/>
      </c>
      <c r="O28" s="136" t="str">
        <f t="shared" si="14"/>
        <v/>
      </c>
      <c r="P28" s="136" t="str">
        <f t="shared" si="14"/>
        <v/>
      </c>
      <c r="Q28" s="136" t="str">
        <f t="shared" si="14"/>
        <v/>
      </c>
      <c r="R28" s="136" t="str">
        <f t="shared" si="14"/>
        <v/>
      </c>
      <c r="S28" s="136" t="str">
        <f t="shared" si="14"/>
        <v/>
      </c>
      <c r="T28" s="136" t="str">
        <f t="shared" si="14"/>
        <v/>
      </c>
      <c r="V28" s="113"/>
      <c r="W28" s="114"/>
      <c r="X28" s="99"/>
      <c r="Y28" s="99"/>
      <c r="Z28" s="99"/>
    </row>
    <row r="29">
      <c r="A29" s="142"/>
      <c r="B29" s="167" t="s">
        <v>80</v>
      </c>
      <c r="D29" s="136"/>
      <c r="E29" s="168"/>
      <c r="F29" s="142"/>
      <c r="G29" s="109"/>
      <c r="H29" s="142"/>
      <c r="V29" s="133"/>
      <c r="W29" s="114"/>
      <c r="X29" s="137"/>
      <c r="Y29" s="128"/>
      <c r="Z29" s="110"/>
    </row>
    <row r="30">
      <c r="A30" s="142"/>
      <c r="C30" s="144"/>
      <c r="D30" s="144"/>
      <c r="E30" s="127"/>
      <c r="F30" s="109"/>
      <c r="G30" s="169" t="s">
        <v>81</v>
      </c>
      <c r="H30" s="170"/>
      <c r="I30" s="150">
        <f t="shared" ref="I30:T30" si="15">SUM(I23:I27)+$E$29</f>
        <v>6827.64</v>
      </c>
      <c r="J30" s="150">
        <f t="shared" si="15"/>
        <v>5342.4</v>
      </c>
      <c r="K30" s="150">
        <f t="shared" si="15"/>
        <v>5608.64</v>
      </c>
      <c r="L30" s="150">
        <f t="shared" si="15"/>
        <v>5608.64</v>
      </c>
      <c r="M30" s="150">
        <f t="shared" si="15"/>
        <v>5475.52</v>
      </c>
      <c r="N30" s="150">
        <f t="shared" si="15"/>
        <v>5608.64</v>
      </c>
      <c r="O30" s="150">
        <f t="shared" si="15"/>
        <v>5741.76</v>
      </c>
      <c r="P30" s="150">
        <f t="shared" si="15"/>
        <v>5475.52</v>
      </c>
      <c r="Q30" s="150">
        <f t="shared" si="15"/>
        <v>5761.76</v>
      </c>
      <c r="R30" s="150">
        <f t="shared" si="15"/>
        <v>5761.76</v>
      </c>
      <c r="S30" s="150">
        <f t="shared" si="15"/>
        <v>5621.68</v>
      </c>
      <c r="T30" s="150">
        <f t="shared" si="15"/>
        <v>5901.84</v>
      </c>
      <c r="V30" s="124" t="s">
        <v>82</v>
      </c>
      <c r="W30" s="146">
        <f>SUM(W23:W28)</f>
        <v>68735.8</v>
      </c>
      <c r="X30" s="137"/>
      <c r="Y30" s="128"/>
      <c r="Z30" s="110"/>
    </row>
    <row r="31">
      <c r="A31" s="142"/>
      <c r="B31" s="142" t="s">
        <v>83</v>
      </c>
      <c r="C31" s="144"/>
      <c r="D31" s="144"/>
      <c r="E31" s="144"/>
      <c r="F31" s="142"/>
      <c r="G31" s="109"/>
      <c r="H31" s="142"/>
      <c r="I31" s="144"/>
      <c r="J31" s="144"/>
      <c r="K31" s="144"/>
      <c r="L31" s="144"/>
      <c r="M31" s="144"/>
      <c r="N31" s="144"/>
      <c r="O31" s="144"/>
      <c r="P31" s="144"/>
      <c r="Q31" s="144"/>
      <c r="R31" s="144"/>
      <c r="S31" s="144"/>
      <c r="T31" s="144"/>
      <c r="V31" s="133"/>
      <c r="W31" s="114">
        <f t="shared" ref="W31:W32" si="16">SUM(I31:T31)</f>
        <v>0</v>
      </c>
      <c r="X31" s="137"/>
      <c r="Y31" s="128"/>
      <c r="Z31" s="110"/>
    </row>
    <row r="32">
      <c r="A32" s="142"/>
      <c r="B32" s="142" t="s">
        <v>84</v>
      </c>
      <c r="C32" s="144"/>
      <c r="D32" s="144"/>
      <c r="E32" s="144"/>
      <c r="F32" s="142"/>
      <c r="G32" s="109"/>
      <c r="H32" s="142"/>
      <c r="I32" s="136"/>
      <c r="J32" s="136"/>
      <c r="K32" s="136"/>
      <c r="L32" s="136"/>
      <c r="M32" s="136"/>
      <c r="N32" s="136"/>
      <c r="O32" s="136"/>
      <c r="P32" s="136"/>
      <c r="Q32" s="136"/>
      <c r="R32" s="136"/>
      <c r="S32" s="136"/>
      <c r="T32" s="136"/>
      <c r="V32" s="133"/>
      <c r="W32" s="146">
        <f t="shared" si="16"/>
        <v>0</v>
      </c>
      <c r="X32" s="137"/>
      <c r="Y32" s="128"/>
      <c r="Z32" s="110"/>
    </row>
    <row r="33">
      <c r="A33" s="142"/>
      <c r="B33" s="142" t="s">
        <v>85</v>
      </c>
      <c r="C33" s="144"/>
      <c r="D33" s="144"/>
      <c r="E33" s="144"/>
      <c r="F33" s="142"/>
      <c r="G33" s="109"/>
      <c r="H33" s="142"/>
      <c r="I33" s="144"/>
      <c r="J33" s="144"/>
      <c r="K33" s="144"/>
      <c r="L33" s="144"/>
      <c r="M33" s="144"/>
      <c r="N33" s="144"/>
      <c r="O33" s="144"/>
      <c r="P33" s="144"/>
      <c r="Q33" s="144"/>
      <c r="R33" s="144"/>
      <c r="S33" s="144"/>
      <c r="T33" s="144"/>
      <c r="V33" s="133"/>
      <c r="W33" s="114"/>
      <c r="X33" s="137"/>
      <c r="Y33" s="128"/>
      <c r="Z33" s="110"/>
    </row>
    <row r="34">
      <c r="A34" s="142"/>
      <c r="B34" s="142" t="s">
        <v>86</v>
      </c>
      <c r="C34" s="144"/>
      <c r="D34" s="144"/>
      <c r="E34" s="144"/>
      <c r="F34" s="142"/>
      <c r="G34" s="109"/>
      <c r="H34" s="142"/>
      <c r="I34" s="144"/>
      <c r="J34" s="144"/>
      <c r="K34" s="144"/>
      <c r="L34" s="144"/>
      <c r="M34" s="144"/>
      <c r="N34" s="144"/>
      <c r="O34" s="144"/>
      <c r="P34" s="144"/>
      <c r="Q34" s="144"/>
      <c r="R34" s="144"/>
      <c r="S34" s="144"/>
      <c r="T34" s="144"/>
      <c r="V34" s="133"/>
      <c r="W34" s="114"/>
      <c r="X34" s="137"/>
      <c r="Y34" s="128"/>
      <c r="Z34" s="110"/>
    </row>
    <row r="35">
      <c r="A35" s="142"/>
      <c r="B35" s="142"/>
      <c r="C35" s="144"/>
      <c r="D35" s="144"/>
      <c r="E35" s="144"/>
      <c r="F35" s="142"/>
      <c r="G35" s="109"/>
      <c r="H35" s="142"/>
      <c r="I35" s="144"/>
      <c r="J35" s="144"/>
      <c r="K35" s="144"/>
      <c r="L35" s="144"/>
      <c r="M35" s="144"/>
      <c r="N35" s="144"/>
      <c r="O35" s="144"/>
      <c r="P35" s="144"/>
      <c r="Q35" s="144"/>
      <c r="R35" s="144"/>
      <c r="S35" s="144"/>
      <c r="T35" s="144"/>
      <c r="V35" s="133"/>
      <c r="W35" s="114"/>
      <c r="X35" s="137"/>
      <c r="Y35" s="128"/>
      <c r="Z35" s="110"/>
    </row>
    <row r="36">
      <c r="A36" s="142"/>
      <c r="B36" s="142" t="s">
        <v>87</v>
      </c>
      <c r="C36" s="144"/>
      <c r="D36" s="144"/>
      <c r="E36" s="144"/>
      <c r="F36" s="142"/>
      <c r="G36" s="169" t="s">
        <v>88</v>
      </c>
      <c r="H36" s="170"/>
      <c r="I36" s="171">
        <f t="shared" ref="I36:T36" si="17">SUM(I31:I35)</f>
        <v>0</v>
      </c>
      <c r="J36" s="150">
        <f t="shared" si="17"/>
        <v>0</v>
      </c>
      <c r="K36" s="150">
        <f t="shared" si="17"/>
        <v>0</v>
      </c>
      <c r="L36" s="150">
        <f t="shared" si="17"/>
        <v>0</v>
      </c>
      <c r="M36" s="150">
        <f t="shared" si="17"/>
        <v>0</v>
      </c>
      <c r="N36" s="150">
        <f t="shared" si="17"/>
        <v>0</v>
      </c>
      <c r="O36" s="150">
        <f t="shared" si="17"/>
        <v>0</v>
      </c>
      <c r="P36" s="150">
        <f t="shared" si="17"/>
        <v>0</v>
      </c>
      <c r="Q36" s="150">
        <f t="shared" si="17"/>
        <v>0</v>
      </c>
      <c r="R36" s="150">
        <f t="shared" si="17"/>
        <v>0</v>
      </c>
      <c r="S36" s="150">
        <f t="shared" si="17"/>
        <v>0</v>
      </c>
      <c r="T36" s="150">
        <f t="shared" si="17"/>
        <v>0</v>
      </c>
      <c r="V36" s="133" t="s">
        <v>89</v>
      </c>
      <c r="W36" s="114">
        <f>SUM(I36:T36)</f>
        <v>0</v>
      </c>
      <c r="X36" s="137"/>
      <c r="Y36" s="128"/>
      <c r="Z36" s="110"/>
    </row>
    <row r="37">
      <c r="A37" s="142"/>
      <c r="B37" s="142"/>
      <c r="C37" s="144"/>
      <c r="D37" s="144"/>
      <c r="E37" s="144"/>
      <c r="F37" s="142"/>
      <c r="G37" s="109"/>
      <c r="H37" s="142"/>
      <c r="I37" s="144"/>
      <c r="J37" s="144"/>
      <c r="K37" s="144"/>
      <c r="L37" s="144"/>
      <c r="M37" s="144"/>
      <c r="N37" s="144"/>
      <c r="O37" s="144"/>
      <c r="P37" s="144"/>
      <c r="Q37" s="144"/>
      <c r="R37" s="144"/>
      <c r="S37" s="144"/>
      <c r="T37" s="144"/>
      <c r="V37" s="133"/>
      <c r="W37" s="114"/>
      <c r="X37" s="137"/>
      <c r="Y37" s="128"/>
      <c r="Z37" s="110"/>
    </row>
    <row r="38">
      <c r="A38" s="142"/>
      <c r="B38" s="109" t="s">
        <v>90</v>
      </c>
      <c r="C38" s="172">
        <v>0.037</v>
      </c>
      <c r="D38" s="153"/>
      <c r="E38" s="144"/>
      <c r="F38" s="142"/>
      <c r="G38" s="169" t="s">
        <v>90</v>
      </c>
      <c r="H38" s="170"/>
      <c r="I38" s="171"/>
      <c r="J38" s="171"/>
      <c r="K38" s="171"/>
      <c r="L38" s="171"/>
      <c r="M38" s="171"/>
      <c r="N38" s="171"/>
      <c r="O38" s="171"/>
      <c r="P38" s="171"/>
      <c r="Q38" s="171"/>
      <c r="R38" s="171"/>
      <c r="S38" s="171"/>
      <c r="T38" s="173"/>
      <c r="V38" s="113" t="s">
        <v>90</v>
      </c>
      <c r="W38" s="114">
        <f>SUM(I38:T38)</f>
        <v>0</v>
      </c>
      <c r="X38" s="137"/>
      <c r="Y38" s="128"/>
      <c r="Z38" s="110"/>
    </row>
    <row r="39">
      <c r="A39" s="142"/>
      <c r="B39" s="142"/>
      <c r="C39" s="144"/>
      <c r="D39" s="144"/>
      <c r="E39" s="144"/>
      <c r="F39" s="142"/>
      <c r="G39" s="109"/>
      <c r="H39" s="142"/>
      <c r="I39" s="144"/>
      <c r="J39" s="144"/>
      <c r="K39" s="144"/>
      <c r="L39" s="144"/>
      <c r="M39" s="144"/>
      <c r="N39" s="144"/>
      <c r="O39" s="144"/>
      <c r="P39" s="144"/>
      <c r="Q39" s="144"/>
      <c r="R39" s="144"/>
      <c r="S39" s="144"/>
      <c r="T39" s="144"/>
      <c r="V39" s="133"/>
      <c r="W39" s="114"/>
      <c r="X39" s="137"/>
      <c r="Y39" s="128"/>
      <c r="Z39" s="110"/>
    </row>
    <row r="40">
      <c r="A40" s="135"/>
      <c r="B40" s="135" t="s">
        <v>17</v>
      </c>
      <c r="C40" s="156">
        <v>154.5</v>
      </c>
      <c r="D40" s="136"/>
      <c r="E40" s="143">
        <v>0.0194</v>
      </c>
      <c r="F40" s="135"/>
      <c r="G40" s="135"/>
      <c r="H40" s="135"/>
      <c r="I40" s="155">
        <f t="shared" ref="I40:T40" si="18">$C$40*(1+$E$40)</f>
        <v>157.4973</v>
      </c>
      <c r="J40" s="155">
        <f t="shared" si="18"/>
        <v>157.4973</v>
      </c>
      <c r="K40" s="155">
        <f t="shared" si="18"/>
        <v>157.4973</v>
      </c>
      <c r="L40" s="155">
        <f t="shared" si="18"/>
        <v>157.4973</v>
      </c>
      <c r="M40" s="155">
        <f t="shared" si="18"/>
        <v>157.4973</v>
      </c>
      <c r="N40" s="155">
        <f t="shared" si="18"/>
        <v>157.4973</v>
      </c>
      <c r="O40" s="155">
        <f t="shared" si="18"/>
        <v>157.4973</v>
      </c>
      <c r="P40" s="155">
        <f t="shared" si="18"/>
        <v>157.4973</v>
      </c>
      <c r="Q40" s="155">
        <f t="shared" si="18"/>
        <v>157.4973</v>
      </c>
      <c r="R40" s="155">
        <f t="shared" si="18"/>
        <v>157.4973</v>
      </c>
      <c r="S40" s="155">
        <f t="shared" si="18"/>
        <v>157.4973</v>
      </c>
      <c r="T40" s="155">
        <f t="shared" si="18"/>
        <v>157.4973</v>
      </c>
      <c r="V40" s="145" t="s">
        <v>91</v>
      </c>
      <c r="W40" s="146">
        <f t="shared" ref="W40:W41" si="20">SUM(I40:T40)</f>
        <v>1889.9676</v>
      </c>
      <c r="X40" s="137"/>
      <c r="Y40" s="128"/>
      <c r="Z40" s="110"/>
    </row>
    <row r="41">
      <c r="A41" s="136"/>
      <c r="B41" s="135" t="s">
        <v>92</v>
      </c>
      <c r="C41" s="156">
        <v>90.0</v>
      </c>
      <c r="D41" s="136"/>
      <c r="E41" s="143">
        <v>0.05</v>
      </c>
      <c r="F41" s="136"/>
      <c r="G41" s="135"/>
      <c r="H41" s="136"/>
      <c r="I41" s="155">
        <f t="shared" ref="I41:T41" si="19">$C$41*(1+$E$41)</f>
        <v>94.5</v>
      </c>
      <c r="J41" s="155">
        <f t="shared" si="19"/>
        <v>94.5</v>
      </c>
      <c r="K41" s="155">
        <f t="shared" si="19"/>
        <v>94.5</v>
      </c>
      <c r="L41" s="155">
        <f t="shared" si="19"/>
        <v>94.5</v>
      </c>
      <c r="M41" s="155">
        <f t="shared" si="19"/>
        <v>94.5</v>
      </c>
      <c r="N41" s="155">
        <f t="shared" si="19"/>
        <v>94.5</v>
      </c>
      <c r="O41" s="155">
        <f t="shared" si="19"/>
        <v>94.5</v>
      </c>
      <c r="P41" s="155">
        <f t="shared" si="19"/>
        <v>94.5</v>
      </c>
      <c r="Q41" s="155">
        <f t="shared" si="19"/>
        <v>94.5</v>
      </c>
      <c r="R41" s="155">
        <f t="shared" si="19"/>
        <v>94.5</v>
      </c>
      <c r="S41" s="155">
        <f t="shared" si="19"/>
        <v>94.5</v>
      </c>
      <c r="T41" s="155">
        <f t="shared" si="19"/>
        <v>94.5</v>
      </c>
      <c r="V41" s="145" t="s">
        <v>93</v>
      </c>
      <c r="W41" s="146">
        <f t="shared" si="20"/>
        <v>1134</v>
      </c>
      <c r="X41" s="137"/>
      <c r="Y41" s="128"/>
      <c r="Z41" s="110"/>
    </row>
    <row r="42">
      <c r="A42" s="136"/>
      <c r="B42" s="174" t="s">
        <v>94</v>
      </c>
      <c r="C42" s="156">
        <v>59.52</v>
      </c>
      <c r="D42" s="136"/>
      <c r="E42" s="175"/>
      <c r="F42" s="136"/>
      <c r="G42" s="135"/>
      <c r="H42" s="136"/>
      <c r="I42" s="155"/>
      <c r="J42" s="155"/>
      <c r="K42" s="155"/>
      <c r="L42" s="155"/>
      <c r="M42" s="155"/>
      <c r="N42" s="155"/>
      <c r="O42" s="155"/>
      <c r="P42" s="155"/>
      <c r="Q42" s="155"/>
      <c r="R42" s="155"/>
      <c r="S42" s="155"/>
      <c r="T42" s="155"/>
      <c r="V42" s="145"/>
      <c r="W42" s="114"/>
      <c r="X42" s="137"/>
      <c r="Y42" s="128"/>
      <c r="Z42" s="110"/>
    </row>
    <row r="43">
      <c r="A43" s="136"/>
      <c r="B43" s="174" t="s">
        <v>95</v>
      </c>
      <c r="C43" s="156">
        <v>16.39</v>
      </c>
      <c r="D43" s="136"/>
      <c r="E43" s="175"/>
      <c r="F43" s="136"/>
      <c r="G43" s="135"/>
      <c r="H43" s="136"/>
      <c r="I43" s="155"/>
      <c r="J43" s="155"/>
      <c r="K43" s="155"/>
      <c r="L43" s="155"/>
      <c r="M43" s="155"/>
      <c r="N43" s="155"/>
      <c r="O43" s="155"/>
      <c r="P43" s="155"/>
      <c r="Q43" s="155"/>
      <c r="R43" s="155"/>
      <c r="S43" s="155"/>
      <c r="T43" s="155"/>
      <c r="V43" s="145"/>
      <c r="W43" s="114"/>
      <c r="X43" s="137"/>
      <c r="Y43" s="128"/>
      <c r="Z43" s="110"/>
    </row>
    <row r="44">
      <c r="A44" s="136"/>
      <c r="B44" s="135" t="s">
        <v>96</v>
      </c>
      <c r="C44" s="136">
        <f>SUM(C42:C43)</f>
        <v>75.91</v>
      </c>
      <c r="D44" s="136"/>
      <c r="E44" s="143">
        <v>0.2</v>
      </c>
      <c r="F44" s="136"/>
      <c r="G44" s="135"/>
      <c r="H44" s="136"/>
      <c r="I44" s="155">
        <f t="shared" ref="I44:T44" si="21">$C$44*(1+$E$44)</f>
        <v>91.092</v>
      </c>
      <c r="J44" s="155">
        <f t="shared" si="21"/>
        <v>91.092</v>
      </c>
      <c r="K44" s="155">
        <f t="shared" si="21"/>
        <v>91.092</v>
      </c>
      <c r="L44" s="155">
        <f t="shared" si="21"/>
        <v>91.092</v>
      </c>
      <c r="M44" s="155">
        <f t="shared" si="21"/>
        <v>91.092</v>
      </c>
      <c r="N44" s="155">
        <f t="shared" si="21"/>
        <v>91.092</v>
      </c>
      <c r="O44" s="155">
        <f t="shared" si="21"/>
        <v>91.092</v>
      </c>
      <c r="P44" s="155">
        <f t="shared" si="21"/>
        <v>91.092</v>
      </c>
      <c r="Q44" s="155">
        <f t="shared" si="21"/>
        <v>91.092</v>
      </c>
      <c r="R44" s="155">
        <f t="shared" si="21"/>
        <v>91.092</v>
      </c>
      <c r="S44" s="155">
        <f t="shared" si="21"/>
        <v>91.092</v>
      </c>
      <c r="T44" s="155">
        <f t="shared" si="21"/>
        <v>91.092</v>
      </c>
      <c r="V44" s="145" t="s">
        <v>97</v>
      </c>
      <c r="W44" s="146">
        <f>SUM(I44:T44)</f>
        <v>1093.104</v>
      </c>
      <c r="X44" s="137"/>
      <c r="Y44" s="128"/>
      <c r="Z44" s="110"/>
    </row>
    <row r="45">
      <c r="A45" s="109"/>
      <c r="B45" s="176" t="s">
        <v>98</v>
      </c>
      <c r="C45" s="156">
        <v>14.4</v>
      </c>
      <c r="D45" s="136"/>
      <c r="E45" s="175"/>
      <c r="F45" s="109"/>
      <c r="G45" s="109"/>
      <c r="H45" s="109"/>
      <c r="I45" s="155"/>
      <c r="J45" s="155"/>
      <c r="K45" s="155"/>
      <c r="L45" s="155"/>
      <c r="M45" s="155"/>
      <c r="N45" s="155"/>
      <c r="O45" s="155"/>
      <c r="P45" s="155"/>
      <c r="Q45" s="155"/>
      <c r="R45" s="155"/>
      <c r="S45" s="155"/>
      <c r="T45" s="155"/>
      <c r="V45" s="113"/>
      <c r="W45" s="114"/>
      <c r="X45" s="137"/>
      <c r="Y45" s="128"/>
      <c r="Z45" s="110"/>
    </row>
    <row r="46">
      <c r="A46" s="109"/>
      <c r="B46" s="176" t="s">
        <v>99</v>
      </c>
      <c r="C46" s="156">
        <v>12.67</v>
      </c>
      <c r="D46" s="136"/>
      <c r="E46" s="175"/>
      <c r="F46" s="109"/>
      <c r="G46" s="109"/>
      <c r="H46" s="109"/>
      <c r="I46" s="155"/>
      <c r="J46" s="155"/>
      <c r="K46" s="155"/>
      <c r="L46" s="155"/>
      <c r="M46" s="155"/>
      <c r="N46" s="155"/>
      <c r="O46" s="155"/>
      <c r="P46" s="155"/>
      <c r="Q46" s="155"/>
      <c r="R46" s="155"/>
      <c r="S46" s="155"/>
      <c r="T46" s="155"/>
      <c r="V46" s="113"/>
      <c r="W46" s="114"/>
      <c r="X46" s="137"/>
      <c r="Y46" s="128"/>
      <c r="Z46" s="110"/>
    </row>
    <row r="47">
      <c r="A47" s="109"/>
      <c r="B47" s="176" t="s">
        <v>100</v>
      </c>
      <c r="C47" s="156">
        <v>36.43</v>
      </c>
      <c r="D47" s="136"/>
      <c r="E47" s="175"/>
      <c r="F47" s="109"/>
      <c r="G47" s="109"/>
      <c r="H47" s="109"/>
      <c r="I47" s="155"/>
      <c r="J47" s="155"/>
      <c r="K47" s="155"/>
      <c r="L47" s="155"/>
      <c r="M47" s="155"/>
      <c r="N47" s="155"/>
      <c r="O47" s="155"/>
      <c r="P47" s="155"/>
      <c r="Q47" s="155"/>
      <c r="R47" s="155"/>
      <c r="S47" s="155"/>
      <c r="T47" s="155"/>
      <c r="V47" s="113"/>
      <c r="W47" s="114"/>
      <c r="X47" s="137"/>
      <c r="Y47" s="128"/>
      <c r="Z47" s="110"/>
    </row>
    <row r="48">
      <c r="A48" s="109"/>
      <c r="B48" s="109" t="s">
        <v>19</v>
      </c>
      <c r="C48" s="155">
        <f>SUM(C45:C47)</f>
        <v>63.5</v>
      </c>
      <c r="D48" s="155"/>
      <c r="E48" s="143">
        <v>1.0</v>
      </c>
      <c r="F48" s="109"/>
      <c r="G48" s="109"/>
      <c r="H48" s="109"/>
      <c r="I48" s="155">
        <f t="shared" ref="I48:T48" si="22">$C$48*(1+$E$48)</f>
        <v>127</v>
      </c>
      <c r="J48" s="155">
        <f t="shared" si="22"/>
        <v>127</v>
      </c>
      <c r="K48" s="155">
        <f t="shared" si="22"/>
        <v>127</v>
      </c>
      <c r="L48" s="155">
        <f t="shared" si="22"/>
        <v>127</v>
      </c>
      <c r="M48" s="155">
        <f t="shared" si="22"/>
        <v>127</v>
      </c>
      <c r="N48" s="155">
        <f t="shared" si="22"/>
        <v>127</v>
      </c>
      <c r="O48" s="155">
        <f t="shared" si="22"/>
        <v>127</v>
      </c>
      <c r="P48" s="155">
        <f t="shared" si="22"/>
        <v>127</v>
      </c>
      <c r="Q48" s="155">
        <f t="shared" si="22"/>
        <v>127</v>
      </c>
      <c r="R48" s="155">
        <f t="shared" si="22"/>
        <v>127</v>
      </c>
      <c r="S48" s="155">
        <f t="shared" si="22"/>
        <v>127</v>
      </c>
      <c r="T48" s="155">
        <f t="shared" si="22"/>
        <v>127</v>
      </c>
      <c r="V48" s="113" t="s">
        <v>101</v>
      </c>
      <c r="W48" s="146">
        <f t="shared" ref="W48:W49" si="24">SUM(I48:T48)</f>
        <v>1524</v>
      </c>
      <c r="X48" s="137"/>
      <c r="Y48" s="128"/>
      <c r="Z48" s="110"/>
    </row>
    <row r="49">
      <c r="A49" s="142"/>
      <c r="B49" s="109" t="s">
        <v>102</v>
      </c>
      <c r="C49" s="156">
        <v>0.0</v>
      </c>
      <c r="D49" s="136"/>
      <c r="E49" s="143">
        <v>0.1</v>
      </c>
      <c r="F49" s="142"/>
      <c r="G49" s="109"/>
      <c r="H49" s="142"/>
      <c r="I49" s="155">
        <f t="shared" ref="I49:T49" si="23">$C$49*(1+$E$49)</f>
        <v>0</v>
      </c>
      <c r="J49" s="155">
        <f t="shared" si="23"/>
        <v>0</v>
      </c>
      <c r="K49" s="155">
        <f t="shared" si="23"/>
        <v>0</v>
      </c>
      <c r="L49" s="155">
        <f t="shared" si="23"/>
        <v>0</v>
      </c>
      <c r="M49" s="155">
        <f t="shared" si="23"/>
        <v>0</v>
      </c>
      <c r="N49" s="155">
        <f t="shared" si="23"/>
        <v>0</v>
      </c>
      <c r="O49" s="155">
        <f t="shared" si="23"/>
        <v>0</v>
      </c>
      <c r="P49" s="155">
        <f t="shared" si="23"/>
        <v>0</v>
      </c>
      <c r="Q49" s="155">
        <f t="shared" si="23"/>
        <v>0</v>
      </c>
      <c r="R49" s="155">
        <f t="shared" si="23"/>
        <v>0</v>
      </c>
      <c r="S49" s="155">
        <f t="shared" si="23"/>
        <v>0</v>
      </c>
      <c r="T49" s="155">
        <f t="shared" si="23"/>
        <v>0</v>
      </c>
      <c r="V49" s="113" t="s">
        <v>103</v>
      </c>
      <c r="W49" s="146">
        <f t="shared" si="24"/>
        <v>0</v>
      </c>
      <c r="X49" s="137"/>
      <c r="Y49" s="128"/>
      <c r="Z49" s="110"/>
    </row>
    <row r="50">
      <c r="A50" s="109"/>
      <c r="B50" s="177"/>
      <c r="E50" s="127"/>
      <c r="F50" s="109"/>
      <c r="G50" s="109"/>
      <c r="H50" s="109"/>
      <c r="I50" s="110"/>
      <c r="J50" s="110"/>
      <c r="K50" s="110"/>
      <c r="L50" s="110"/>
      <c r="M50" s="110"/>
      <c r="N50" s="110"/>
      <c r="O50" s="110"/>
      <c r="P50" s="110"/>
      <c r="Q50" s="110"/>
      <c r="R50" s="110"/>
      <c r="S50" s="110"/>
      <c r="T50" s="110"/>
      <c r="V50" s="133"/>
      <c r="W50" s="114"/>
      <c r="X50" s="137"/>
      <c r="Y50" s="128"/>
      <c r="Z50" s="110"/>
    </row>
    <row r="51">
      <c r="A51" s="109"/>
      <c r="B51" s="177"/>
      <c r="C51" s="94">
        <f>SUM(C40,C41,C44,C48,C49)</f>
        <v>383.91</v>
      </c>
      <c r="D51" s="95" t="s">
        <v>104</v>
      </c>
      <c r="E51" s="178">
        <f>SUM(I52-C51)</f>
        <v>86.1793</v>
      </c>
      <c r="F51" s="109"/>
      <c r="G51" s="109" t="s">
        <v>105</v>
      </c>
      <c r="H51" s="109"/>
      <c r="I51" s="155">
        <f t="shared" ref="I51:T51" si="25">SUM($C$40,$C$41,$C$44,$C$48,$C$49)</f>
        <v>383.91</v>
      </c>
      <c r="J51" s="155">
        <f t="shared" si="25"/>
        <v>383.91</v>
      </c>
      <c r="K51" s="155">
        <f t="shared" si="25"/>
        <v>383.91</v>
      </c>
      <c r="L51" s="155">
        <f t="shared" si="25"/>
        <v>383.91</v>
      </c>
      <c r="M51" s="155">
        <f t="shared" si="25"/>
        <v>383.91</v>
      </c>
      <c r="N51" s="155">
        <f t="shared" si="25"/>
        <v>383.91</v>
      </c>
      <c r="O51" s="155">
        <f t="shared" si="25"/>
        <v>383.91</v>
      </c>
      <c r="P51" s="155">
        <f t="shared" si="25"/>
        <v>383.91</v>
      </c>
      <c r="Q51" s="155">
        <f t="shared" si="25"/>
        <v>383.91</v>
      </c>
      <c r="R51" s="155">
        <f t="shared" si="25"/>
        <v>383.91</v>
      </c>
      <c r="S51" s="155">
        <f t="shared" si="25"/>
        <v>383.91</v>
      </c>
      <c r="T51" s="155">
        <f t="shared" si="25"/>
        <v>383.91</v>
      </c>
      <c r="V51" s="133"/>
      <c r="W51" s="114"/>
      <c r="X51" s="137"/>
      <c r="Y51" s="128"/>
      <c r="Z51" s="110"/>
    </row>
    <row r="52">
      <c r="A52" s="109"/>
      <c r="E52" s="127"/>
      <c r="F52" s="177"/>
      <c r="G52" s="179" t="s">
        <v>106</v>
      </c>
      <c r="H52" s="180"/>
      <c r="I52" s="181">
        <f t="shared" ref="I52:T52" si="26">SUM(I40:I49)</f>
        <v>470.0893</v>
      </c>
      <c r="J52" s="181">
        <f t="shared" si="26"/>
        <v>470.0893</v>
      </c>
      <c r="K52" s="181">
        <f t="shared" si="26"/>
        <v>470.0893</v>
      </c>
      <c r="L52" s="181">
        <f t="shared" si="26"/>
        <v>470.0893</v>
      </c>
      <c r="M52" s="181">
        <f t="shared" si="26"/>
        <v>470.0893</v>
      </c>
      <c r="N52" s="181">
        <f t="shared" si="26"/>
        <v>470.0893</v>
      </c>
      <c r="O52" s="181">
        <f t="shared" si="26"/>
        <v>470.0893</v>
      </c>
      <c r="P52" s="181">
        <f t="shared" si="26"/>
        <v>470.0893</v>
      </c>
      <c r="Q52" s="181">
        <f t="shared" si="26"/>
        <v>470.0893</v>
      </c>
      <c r="R52" s="181">
        <f t="shared" si="26"/>
        <v>470.0893</v>
      </c>
      <c r="S52" s="181">
        <f t="shared" si="26"/>
        <v>470.0893</v>
      </c>
      <c r="T52" s="182">
        <f t="shared" si="26"/>
        <v>470.0893</v>
      </c>
      <c r="V52" s="113" t="s">
        <v>105</v>
      </c>
      <c r="W52" s="146">
        <f>SUM(I52:T52)</f>
        <v>5641.0716</v>
      </c>
      <c r="X52" s="137"/>
      <c r="Y52" s="128"/>
      <c r="Z52" s="110"/>
    </row>
    <row r="53">
      <c r="A53" s="142"/>
      <c r="B53" s="109"/>
      <c r="C53" s="110"/>
      <c r="D53" s="110"/>
      <c r="E53" s="127"/>
      <c r="F53" s="109"/>
      <c r="G53" s="109"/>
      <c r="H53" s="142"/>
      <c r="I53" s="144"/>
      <c r="J53" s="144"/>
      <c r="K53" s="144"/>
      <c r="L53" s="144"/>
      <c r="M53" s="144"/>
      <c r="N53" s="144"/>
      <c r="O53" s="144"/>
      <c r="P53" s="144"/>
      <c r="Q53" s="144"/>
      <c r="R53" s="144"/>
      <c r="S53" s="144"/>
      <c r="T53" s="144"/>
      <c r="V53" s="133"/>
      <c r="W53" s="114"/>
      <c r="X53" s="137"/>
      <c r="Y53" s="128"/>
      <c r="Z53" s="110"/>
    </row>
    <row r="54">
      <c r="A54" s="142"/>
      <c r="C54" s="110"/>
      <c r="D54" s="110"/>
      <c r="E54" s="127"/>
      <c r="F54" s="109"/>
      <c r="G54" s="109" t="s">
        <v>107</v>
      </c>
      <c r="H54" s="142"/>
      <c r="I54" s="183">
        <f>SUM(I6,I17:I18,I23:I27,I36,I51)</f>
        <v>26358.93443</v>
      </c>
      <c r="J54" s="183">
        <f t="shared" ref="J54:T54" si="27">SUM(J6,J17:J18,J23:J25,J36,J51)</f>
        <v>23133.02312</v>
      </c>
      <c r="K54" s="183">
        <f t="shared" si="27"/>
        <v>25139.93443</v>
      </c>
      <c r="L54" s="183">
        <f t="shared" si="27"/>
        <v>25139.93443</v>
      </c>
      <c r="M54" s="183">
        <f t="shared" si="27"/>
        <v>24136.47878</v>
      </c>
      <c r="N54" s="183">
        <f t="shared" si="27"/>
        <v>25139.93443</v>
      </c>
      <c r="O54" s="183">
        <f t="shared" si="27"/>
        <v>26143.39009</v>
      </c>
      <c r="P54" s="183">
        <f t="shared" si="27"/>
        <v>24136.47878</v>
      </c>
      <c r="Q54" s="183">
        <f t="shared" si="27"/>
        <v>26230.42505</v>
      </c>
      <c r="R54" s="183">
        <f t="shared" si="27"/>
        <v>26230.42505</v>
      </c>
      <c r="S54" s="183">
        <f t="shared" si="27"/>
        <v>25177.40164</v>
      </c>
      <c r="T54" s="183">
        <f t="shared" si="27"/>
        <v>27283.44846</v>
      </c>
      <c r="V54" s="113" t="s">
        <v>108</v>
      </c>
      <c r="W54" s="125">
        <f t="shared" ref="W54:W55" si="29">SUM(I54:T54)</f>
        <v>304249.8087</v>
      </c>
      <c r="X54" s="137"/>
      <c r="Y54" s="128"/>
      <c r="Z54" s="110"/>
    </row>
    <row r="55">
      <c r="A55" s="142"/>
      <c r="E55" s="127"/>
      <c r="F55" s="177"/>
      <c r="G55" s="179" t="s">
        <v>109</v>
      </c>
      <c r="H55" s="170"/>
      <c r="I55" s="184">
        <f t="shared" ref="I55:T55" si="28">SUM(I6,I19,I30,I36,I38,I52)</f>
        <v>27506.1373</v>
      </c>
      <c r="J55" s="184">
        <f t="shared" si="28"/>
        <v>24183.7693</v>
      </c>
      <c r="K55" s="184">
        <f t="shared" si="28"/>
        <v>26287.1373</v>
      </c>
      <c r="L55" s="184">
        <f t="shared" si="28"/>
        <v>26287.1373</v>
      </c>
      <c r="M55" s="184">
        <f t="shared" si="28"/>
        <v>25235.4533</v>
      </c>
      <c r="N55" s="184">
        <f t="shared" si="28"/>
        <v>26287.1373</v>
      </c>
      <c r="O55" s="184">
        <f t="shared" si="28"/>
        <v>27338.8213</v>
      </c>
      <c r="P55" s="184">
        <f t="shared" si="28"/>
        <v>25235.4533</v>
      </c>
      <c r="Q55" s="184">
        <f t="shared" si="28"/>
        <v>27429.5709</v>
      </c>
      <c r="R55" s="184">
        <f t="shared" si="28"/>
        <v>27429.5709</v>
      </c>
      <c r="S55" s="184">
        <f t="shared" si="28"/>
        <v>26325.9581</v>
      </c>
      <c r="T55" s="184">
        <f t="shared" si="28"/>
        <v>28533.1837</v>
      </c>
      <c r="V55" s="113" t="s">
        <v>110</v>
      </c>
      <c r="W55" s="125">
        <f t="shared" si="29"/>
        <v>318079.33</v>
      </c>
      <c r="X55" s="137"/>
      <c r="Y55" s="128"/>
      <c r="Z55" s="110"/>
    </row>
    <row r="56">
      <c r="A56" s="142"/>
      <c r="B56" s="142"/>
      <c r="C56" s="153"/>
      <c r="D56" s="153"/>
      <c r="E56" s="144"/>
      <c r="F56" s="142"/>
      <c r="G56" s="109"/>
      <c r="H56" s="142"/>
      <c r="I56" s="144"/>
      <c r="J56" s="144"/>
      <c r="K56" s="144"/>
      <c r="L56" s="144"/>
      <c r="M56" s="144"/>
      <c r="N56" s="144"/>
      <c r="O56" s="144"/>
      <c r="P56" s="144"/>
      <c r="Q56" s="144"/>
      <c r="R56" s="144"/>
      <c r="S56" s="144"/>
      <c r="T56" s="144"/>
      <c r="V56" s="133"/>
      <c r="W56" s="114"/>
      <c r="X56" s="137"/>
      <c r="Y56" s="128"/>
      <c r="Z56" s="110"/>
    </row>
    <row r="57">
      <c r="A57" s="142"/>
      <c r="C57" s="109" t="s">
        <v>111</v>
      </c>
      <c r="D57" s="109"/>
      <c r="E57" s="143">
        <v>0.03</v>
      </c>
      <c r="F57" s="142"/>
      <c r="G57" s="109"/>
      <c r="H57" s="142"/>
      <c r="I57" s="183">
        <f t="shared" ref="I57:T57" si="30">I55*$E$57</f>
        <v>825.184119</v>
      </c>
      <c r="J57" s="183">
        <f t="shared" si="30"/>
        <v>725.513079</v>
      </c>
      <c r="K57" s="183">
        <f t="shared" si="30"/>
        <v>788.614119</v>
      </c>
      <c r="L57" s="183">
        <f t="shared" si="30"/>
        <v>788.614119</v>
      </c>
      <c r="M57" s="183">
        <f t="shared" si="30"/>
        <v>757.063599</v>
      </c>
      <c r="N57" s="183">
        <f t="shared" si="30"/>
        <v>788.614119</v>
      </c>
      <c r="O57" s="183">
        <f t="shared" si="30"/>
        <v>820.164639</v>
      </c>
      <c r="P57" s="183">
        <f t="shared" si="30"/>
        <v>757.063599</v>
      </c>
      <c r="Q57" s="183">
        <f t="shared" si="30"/>
        <v>822.887127</v>
      </c>
      <c r="R57" s="183">
        <f t="shared" si="30"/>
        <v>822.887127</v>
      </c>
      <c r="S57" s="183">
        <f t="shared" si="30"/>
        <v>789.778743</v>
      </c>
      <c r="T57" s="183">
        <f t="shared" si="30"/>
        <v>855.995511</v>
      </c>
      <c r="V57" s="113" t="s">
        <v>112</v>
      </c>
      <c r="W57" s="125">
        <f>SUM(I57:T57)</f>
        <v>9542.3799</v>
      </c>
      <c r="X57" s="137"/>
      <c r="Y57" s="128"/>
      <c r="Z57" s="110"/>
    </row>
    <row r="59">
      <c r="A59" s="185"/>
      <c r="B59" s="142"/>
      <c r="C59" s="144"/>
      <c r="D59" s="144"/>
      <c r="E59" s="142"/>
      <c r="F59" s="185"/>
      <c r="G59" s="135"/>
      <c r="H59" s="185"/>
      <c r="I59" s="136"/>
      <c r="J59" s="136"/>
      <c r="K59" s="136"/>
      <c r="L59" s="136"/>
      <c r="M59" s="136"/>
      <c r="N59" s="136"/>
      <c r="O59" s="136"/>
      <c r="P59" s="136"/>
      <c r="Q59" s="136"/>
      <c r="R59" s="136"/>
      <c r="S59" s="136"/>
      <c r="T59" s="136"/>
      <c r="V59" s="133"/>
      <c r="W59" s="114"/>
      <c r="X59" s="186"/>
      <c r="Y59" s="128"/>
      <c r="Z59" s="110"/>
    </row>
    <row r="60">
      <c r="A60" s="185"/>
      <c r="C60" s="187"/>
      <c r="D60" s="187"/>
      <c r="F60" s="188"/>
      <c r="G60" s="189" t="s">
        <v>113</v>
      </c>
      <c r="H60" s="121"/>
      <c r="I60" s="150">
        <f>SUM(I55+I57)+I17</f>
        <v>28331.32142</v>
      </c>
      <c r="J60" s="150">
        <f t="shared" ref="J60:T60" si="31">SUM(J55+J57)</f>
        <v>24909.28238</v>
      </c>
      <c r="K60" s="150">
        <f t="shared" si="31"/>
        <v>27075.75142</v>
      </c>
      <c r="L60" s="150">
        <f t="shared" si="31"/>
        <v>27075.75142</v>
      </c>
      <c r="M60" s="150">
        <f t="shared" si="31"/>
        <v>25992.5169</v>
      </c>
      <c r="N60" s="150">
        <f t="shared" si="31"/>
        <v>27075.75142</v>
      </c>
      <c r="O60" s="150">
        <f t="shared" si="31"/>
        <v>28158.98594</v>
      </c>
      <c r="P60" s="150">
        <f t="shared" si="31"/>
        <v>25992.5169</v>
      </c>
      <c r="Q60" s="150">
        <f t="shared" si="31"/>
        <v>28252.45803</v>
      </c>
      <c r="R60" s="150">
        <f t="shared" si="31"/>
        <v>28252.45803</v>
      </c>
      <c r="S60" s="150">
        <f t="shared" si="31"/>
        <v>27115.73684</v>
      </c>
      <c r="T60" s="150">
        <f t="shared" si="31"/>
        <v>29389.17921</v>
      </c>
      <c r="V60" s="113" t="s">
        <v>114</v>
      </c>
      <c r="W60" s="146">
        <f t="shared" ref="W60:W61" si="33">SUM(I60:T60)</f>
        <v>327621.7099</v>
      </c>
      <c r="X60" s="190"/>
      <c r="Y60" s="128"/>
      <c r="Z60" s="110"/>
    </row>
    <row r="61">
      <c r="A61" s="98"/>
      <c r="C61" s="191"/>
      <c r="D61" s="191"/>
      <c r="F61" s="192"/>
      <c r="G61" s="192" t="s">
        <v>104</v>
      </c>
      <c r="I61" s="193">
        <f t="shared" ref="I61:T61" si="32">I60-I54</f>
        <v>1972.386987</v>
      </c>
      <c r="J61" s="193">
        <f t="shared" si="32"/>
        <v>1776.259259</v>
      </c>
      <c r="K61" s="193">
        <f t="shared" si="32"/>
        <v>1935.816987</v>
      </c>
      <c r="L61" s="193">
        <f t="shared" si="32"/>
        <v>1935.816987</v>
      </c>
      <c r="M61" s="193">
        <f t="shared" si="32"/>
        <v>1856.038123</v>
      </c>
      <c r="N61" s="193">
        <f t="shared" si="32"/>
        <v>1935.816987</v>
      </c>
      <c r="O61" s="193">
        <f t="shared" si="32"/>
        <v>2015.595851</v>
      </c>
      <c r="P61" s="193">
        <f t="shared" si="32"/>
        <v>1856.038123</v>
      </c>
      <c r="Q61" s="193">
        <f t="shared" si="32"/>
        <v>2022.032981</v>
      </c>
      <c r="R61" s="193">
        <f t="shared" si="32"/>
        <v>2022.032981</v>
      </c>
      <c r="S61" s="193">
        <f t="shared" si="32"/>
        <v>1938.335208</v>
      </c>
      <c r="T61" s="193">
        <f t="shared" si="32"/>
        <v>2105.730753</v>
      </c>
      <c r="V61" s="113" t="s">
        <v>115</v>
      </c>
      <c r="W61" s="146">
        <f t="shared" si="33"/>
        <v>23371.90123</v>
      </c>
      <c r="X61" s="186"/>
      <c r="Y61" s="128"/>
      <c r="Z61" s="110"/>
    </row>
    <row r="62">
      <c r="A62" s="108"/>
      <c r="C62" s="194"/>
      <c r="D62" s="194"/>
      <c r="F62" s="192"/>
      <c r="G62" s="192" t="s">
        <v>116</v>
      </c>
      <c r="I62" s="128">
        <f t="shared" ref="I62:T62" si="34">I61/I60</f>
        <v>0.06961860189</v>
      </c>
      <c r="J62" s="128">
        <f t="shared" si="34"/>
        <v>0.07130913015</v>
      </c>
      <c r="K62" s="128">
        <f t="shared" si="34"/>
        <v>0.07149633475</v>
      </c>
      <c r="L62" s="128">
        <f t="shared" si="34"/>
        <v>0.07149633475</v>
      </c>
      <c r="M62" s="128">
        <f t="shared" si="34"/>
        <v>0.07140663331</v>
      </c>
      <c r="N62" s="128">
        <f t="shared" si="34"/>
        <v>0.07149633475</v>
      </c>
      <c r="O62" s="128">
        <f t="shared" si="34"/>
        <v>0.07157913482</v>
      </c>
      <c r="P62" s="128">
        <f t="shared" si="34"/>
        <v>0.07140663331</v>
      </c>
      <c r="Q62" s="128">
        <f t="shared" si="34"/>
        <v>0.07157016139</v>
      </c>
      <c r="R62" s="128">
        <f t="shared" si="34"/>
        <v>0.07157016139</v>
      </c>
      <c r="S62" s="128">
        <f t="shared" si="34"/>
        <v>0.07148377413</v>
      </c>
      <c r="T62" s="128">
        <f t="shared" si="34"/>
        <v>0.07164986604</v>
      </c>
      <c r="V62" s="113" t="s">
        <v>116</v>
      </c>
      <c r="W62" s="152">
        <f>W61/W60</f>
        <v>0.0713380723</v>
      </c>
      <c r="X62" s="186"/>
      <c r="Y62" s="128"/>
      <c r="Z62" s="110"/>
    </row>
    <row r="63">
      <c r="A63" s="137"/>
      <c r="B63" s="137"/>
      <c r="C63" s="98"/>
      <c r="D63" s="98"/>
      <c r="E63" s="142"/>
      <c r="F63" s="98"/>
      <c r="G63" s="132"/>
      <c r="H63" s="98"/>
      <c r="I63" s="98"/>
      <c r="J63" s="98"/>
      <c r="Q63" s="98"/>
      <c r="R63" s="98"/>
      <c r="S63" s="98"/>
      <c r="T63" s="135"/>
      <c r="U63" s="144"/>
      <c r="V63" s="142"/>
      <c r="W63" s="137"/>
      <c r="X63" s="137"/>
      <c r="Y63" s="128"/>
      <c r="Z63" s="110"/>
    </row>
    <row r="64">
      <c r="A64" s="108"/>
      <c r="B64" s="126"/>
      <c r="C64" s="108"/>
      <c r="D64" s="108"/>
      <c r="E64" s="142" t="s">
        <v>117</v>
      </c>
      <c r="F64" s="108"/>
      <c r="G64" s="77">
        <v>0.0014</v>
      </c>
      <c r="H64" s="108"/>
      <c r="I64" s="154">
        <f t="shared" ref="I64:T64" si="35">SUM(I60*$G$64)</f>
        <v>39.66384999</v>
      </c>
      <c r="J64" s="154">
        <f t="shared" si="35"/>
        <v>34.87299533</v>
      </c>
      <c r="K64" s="154">
        <f t="shared" si="35"/>
        <v>37.90605199</v>
      </c>
      <c r="L64" s="154">
        <f t="shared" si="35"/>
        <v>37.90605199</v>
      </c>
      <c r="M64" s="154">
        <f t="shared" si="35"/>
        <v>36.38952366</v>
      </c>
      <c r="N64" s="154">
        <f t="shared" si="35"/>
        <v>37.90605199</v>
      </c>
      <c r="O64" s="154">
        <f t="shared" si="35"/>
        <v>39.42258031</v>
      </c>
      <c r="P64" s="154">
        <f t="shared" si="35"/>
        <v>36.38952366</v>
      </c>
      <c r="Q64" s="154">
        <f t="shared" si="35"/>
        <v>39.55344124</v>
      </c>
      <c r="R64" s="154">
        <f t="shared" si="35"/>
        <v>39.55344124</v>
      </c>
      <c r="S64" s="154">
        <f t="shared" si="35"/>
        <v>37.96203158</v>
      </c>
      <c r="T64" s="154">
        <f t="shared" si="35"/>
        <v>41.1448509</v>
      </c>
      <c r="U64" s="97"/>
      <c r="V64" s="109" t="s">
        <v>118</v>
      </c>
      <c r="W64" s="195">
        <f>SUM(I64:T64)</f>
        <v>458.6703939</v>
      </c>
      <c r="X64" s="196"/>
      <c r="Y64" s="197"/>
      <c r="Z64" s="198"/>
    </row>
    <row r="65">
      <c r="A65" s="126"/>
      <c r="B65" s="126"/>
      <c r="C65" s="126"/>
      <c r="D65" s="126"/>
      <c r="E65" s="126"/>
      <c r="F65" s="126"/>
      <c r="G65" s="126"/>
      <c r="H65" s="126"/>
      <c r="I65" s="126"/>
      <c r="J65" s="126"/>
      <c r="K65" s="126"/>
      <c r="L65" s="126"/>
      <c r="M65" s="129"/>
      <c r="N65" s="126"/>
      <c r="O65" s="126"/>
      <c r="P65" s="126"/>
      <c r="Q65" s="126"/>
      <c r="R65" s="126"/>
      <c r="S65" s="126"/>
      <c r="T65" s="135"/>
      <c r="U65" s="97"/>
      <c r="V65" s="98"/>
      <c r="W65" s="199"/>
      <c r="X65" s="199"/>
      <c r="Y65" s="199"/>
      <c r="Z65" s="199"/>
    </row>
    <row r="66">
      <c r="A66" s="108"/>
      <c r="B66" s="126"/>
      <c r="C66" s="108"/>
      <c r="D66" s="108"/>
      <c r="E66" s="108"/>
      <c r="F66" s="108"/>
      <c r="G66" s="108"/>
      <c r="H66" s="108"/>
      <c r="I66" s="108"/>
      <c r="J66" s="108"/>
      <c r="K66" s="108"/>
      <c r="L66" s="108"/>
      <c r="M66" s="110"/>
      <c r="N66" s="108"/>
      <c r="O66" s="108"/>
      <c r="P66" s="108"/>
      <c r="Q66" s="108"/>
      <c r="R66" s="108"/>
      <c r="S66" s="108"/>
      <c r="T66" s="135"/>
      <c r="U66" s="200"/>
      <c r="V66" s="130" t="s">
        <v>119</v>
      </c>
      <c r="W66" s="201">
        <f>SUM(W60,W64)</f>
        <v>328080.3803</v>
      </c>
      <c r="X66" s="196"/>
      <c r="Y66" s="197"/>
      <c r="Z66" s="198"/>
    </row>
    <row r="67">
      <c r="A67" s="202"/>
      <c r="B67" s="203"/>
      <c r="C67" s="161"/>
      <c r="D67" s="161"/>
      <c r="E67" s="161"/>
      <c r="F67" s="161"/>
      <c r="G67" s="161"/>
      <c r="H67" s="161"/>
      <c r="I67" s="161"/>
      <c r="J67" s="161"/>
      <c r="K67" s="161"/>
      <c r="L67" s="161"/>
      <c r="M67" s="204"/>
      <c r="N67" s="161"/>
      <c r="O67" s="161"/>
      <c r="P67" s="161"/>
      <c r="Q67" s="161"/>
      <c r="R67" s="161"/>
      <c r="S67" s="161"/>
      <c r="T67" s="135"/>
      <c r="U67" s="97"/>
      <c r="V67" s="98"/>
      <c r="W67" s="99"/>
      <c r="X67" s="99"/>
      <c r="Y67" s="99"/>
      <c r="Z67" s="99"/>
    </row>
    <row r="68">
      <c r="A68" s="203"/>
      <c r="B68" s="203"/>
      <c r="C68" s="205"/>
      <c r="D68" s="205"/>
      <c r="E68" s="205"/>
      <c r="F68" s="205"/>
      <c r="G68" s="205"/>
      <c r="H68" s="205"/>
      <c r="I68" s="205"/>
      <c r="J68" s="205"/>
      <c r="K68" s="205"/>
      <c r="L68" s="205"/>
      <c r="M68" s="206"/>
      <c r="N68" s="205"/>
      <c r="O68" s="205"/>
      <c r="P68" s="205"/>
      <c r="Q68" s="205"/>
      <c r="R68" s="205"/>
      <c r="S68" s="205"/>
      <c r="T68" s="135"/>
      <c r="U68" s="97"/>
      <c r="V68" s="98"/>
      <c r="W68" s="99"/>
      <c r="X68" s="99"/>
      <c r="Y68" s="99"/>
      <c r="Z68" s="99"/>
    </row>
    <row r="69">
      <c r="A69" s="207"/>
      <c r="B69" s="203"/>
      <c r="C69" s="128"/>
      <c r="D69" s="128"/>
      <c r="E69" s="205"/>
      <c r="F69" s="205"/>
      <c r="G69" s="205"/>
      <c r="H69" s="205"/>
      <c r="I69" s="205"/>
      <c r="J69" s="205"/>
      <c r="K69" s="205"/>
      <c r="L69" s="205"/>
      <c r="M69" s="206"/>
      <c r="N69" s="205"/>
      <c r="O69" s="205"/>
      <c r="P69" s="205"/>
      <c r="Q69" s="205"/>
      <c r="R69" s="205"/>
      <c r="S69" s="205"/>
      <c r="T69" s="135"/>
      <c r="U69" s="144"/>
      <c r="V69" s="142"/>
      <c r="W69" s="186"/>
      <c r="X69" s="186"/>
      <c r="Y69" s="128"/>
      <c r="Z69" s="110"/>
    </row>
    <row r="70">
      <c r="A70" s="99"/>
      <c r="B70" s="99"/>
      <c r="C70" s="99"/>
      <c r="D70" s="99"/>
      <c r="E70" s="99"/>
      <c r="F70" s="99"/>
      <c r="G70" s="99"/>
      <c r="H70" s="99"/>
      <c r="I70" s="99"/>
      <c r="J70" s="99"/>
      <c r="K70" s="99"/>
      <c r="L70" s="99"/>
      <c r="M70" s="97"/>
      <c r="N70" s="99"/>
      <c r="O70" s="99"/>
      <c r="P70" s="99"/>
      <c r="Q70" s="99"/>
      <c r="R70" s="99"/>
      <c r="S70" s="99"/>
      <c r="T70" s="135"/>
      <c r="U70" s="97"/>
      <c r="V70" s="98"/>
      <c r="W70" s="99"/>
      <c r="X70" s="99"/>
      <c r="Y70" s="99"/>
      <c r="Z70" s="99"/>
    </row>
    <row r="71">
      <c r="A71" s="108"/>
      <c r="B71" s="108"/>
      <c r="C71" s="108"/>
      <c r="D71" s="108"/>
      <c r="E71" s="108"/>
      <c r="F71" s="108"/>
      <c r="G71" s="108"/>
      <c r="H71" s="108"/>
      <c r="I71" s="108"/>
      <c r="J71" s="108"/>
      <c r="K71" s="108"/>
      <c r="L71" s="108"/>
      <c r="M71" s="110"/>
      <c r="N71" s="108"/>
      <c r="O71" s="108"/>
      <c r="P71" s="108"/>
      <c r="Q71" s="108"/>
      <c r="R71" s="108"/>
      <c r="S71" s="108"/>
      <c r="T71" s="108"/>
      <c r="U71" s="129"/>
      <c r="V71" s="132"/>
      <c r="W71" s="126"/>
      <c r="X71" s="126"/>
      <c r="Y71" s="126"/>
      <c r="Z71" s="126"/>
    </row>
    <row r="72">
      <c r="A72" s="108"/>
      <c r="B72" s="126"/>
      <c r="C72" s="108"/>
      <c r="D72" s="108"/>
      <c r="E72" s="108"/>
      <c r="F72" s="108"/>
      <c r="G72" s="108"/>
      <c r="H72" s="108"/>
      <c r="I72" s="108"/>
      <c r="J72" s="108"/>
      <c r="K72" s="108"/>
      <c r="L72" s="108"/>
      <c r="M72" s="110"/>
      <c r="N72" s="108"/>
      <c r="O72" s="108"/>
      <c r="P72" s="108"/>
      <c r="Q72" s="108"/>
      <c r="R72" s="108"/>
      <c r="S72" s="108"/>
      <c r="T72" s="135"/>
      <c r="U72" s="144"/>
      <c r="V72" s="142"/>
      <c r="W72" s="208"/>
      <c r="X72" s="196"/>
      <c r="Y72" s="209"/>
      <c r="Z72" s="198"/>
    </row>
    <row r="73">
      <c r="A73" s="108"/>
      <c r="B73" s="126"/>
      <c r="C73" s="108"/>
      <c r="D73" s="108"/>
      <c r="E73" s="108"/>
      <c r="F73" s="108"/>
      <c r="G73" s="108"/>
      <c r="H73" s="108"/>
      <c r="I73" s="108"/>
      <c r="J73" s="108"/>
      <c r="K73" s="108"/>
      <c r="L73" s="108"/>
      <c r="M73" s="110"/>
      <c r="N73" s="108"/>
      <c r="O73" s="108"/>
      <c r="P73" s="108"/>
      <c r="Q73" s="108"/>
      <c r="R73" s="108"/>
      <c r="S73" s="108"/>
      <c r="T73" s="135"/>
      <c r="U73" s="144"/>
      <c r="V73" s="142"/>
      <c r="W73" s="208"/>
      <c r="X73" s="196"/>
      <c r="Y73" s="209"/>
      <c r="Z73" s="198"/>
    </row>
    <row r="74">
      <c r="A74" s="126"/>
      <c r="B74" s="126"/>
      <c r="C74" s="126"/>
      <c r="D74" s="126"/>
      <c r="E74" s="126"/>
      <c r="F74" s="126"/>
      <c r="G74" s="126"/>
      <c r="H74" s="126"/>
      <c r="I74" s="126"/>
      <c r="J74" s="126"/>
      <c r="K74" s="126"/>
      <c r="L74" s="126"/>
      <c r="M74" s="129"/>
      <c r="N74" s="126"/>
      <c r="O74" s="126"/>
      <c r="P74" s="126"/>
      <c r="Q74" s="126"/>
      <c r="R74" s="126"/>
      <c r="S74" s="126"/>
      <c r="T74" s="135"/>
      <c r="U74" s="144"/>
      <c r="V74" s="142"/>
      <c r="W74" s="115"/>
      <c r="X74" s="115"/>
      <c r="Y74" s="115"/>
      <c r="Z74" s="115"/>
    </row>
    <row r="75">
      <c r="A75" s="210"/>
      <c r="B75" s="211"/>
      <c r="C75" s="212"/>
      <c r="D75" s="212"/>
      <c r="E75" s="212"/>
      <c r="F75" s="212"/>
      <c r="G75" s="212"/>
      <c r="H75" s="212"/>
      <c r="I75" s="212"/>
      <c r="J75" s="212"/>
      <c r="K75" s="212"/>
      <c r="L75" s="212"/>
      <c r="M75" s="213"/>
      <c r="N75" s="212"/>
      <c r="O75" s="212"/>
      <c r="P75" s="212"/>
      <c r="Q75" s="212"/>
      <c r="R75" s="212"/>
      <c r="S75" s="212"/>
      <c r="T75" s="109"/>
      <c r="U75" s="214"/>
      <c r="V75" s="215"/>
      <c r="W75" s="216"/>
      <c r="X75" s="216"/>
      <c r="Y75" s="217"/>
      <c r="Z75" s="218"/>
    </row>
    <row r="76">
      <c r="A76" s="99"/>
      <c r="B76" s="99"/>
      <c r="C76" s="99"/>
      <c r="D76" s="99"/>
      <c r="E76" s="99"/>
      <c r="F76" s="99"/>
      <c r="G76" s="99"/>
      <c r="H76" s="99"/>
      <c r="I76" s="99"/>
      <c r="J76" s="99"/>
      <c r="K76" s="99"/>
      <c r="L76" s="99"/>
      <c r="M76" s="97"/>
      <c r="N76" s="99"/>
      <c r="O76" s="99"/>
      <c r="P76" s="99"/>
      <c r="Q76" s="99"/>
      <c r="R76" s="99"/>
      <c r="S76" s="99"/>
      <c r="T76" s="219"/>
      <c r="U76" s="97"/>
      <c r="V76" s="98"/>
      <c r="W76" s="220"/>
      <c r="X76" s="220"/>
      <c r="Y76" s="221"/>
      <c r="Z76" s="222"/>
    </row>
    <row r="77">
      <c r="M77" s="127"/>
      <c r="U77" s="127"/>
      <c r="V77" s="223"/>
    </row>
    <row r="78">
      <c r="M78" s="127"/>
      <c r="U78" s="127"/>
      <c r="V78" s="223"/>
    </row>
    <row r="79">
      <c r="M79" s="127"/>
      <c r="U79" s="127"/>
      <c r="V79" s="223"/>
    </row>
    <row r="80">
      <c r="M80" s="127"/>
      <c r="U80" s="127"/>
      <c r="V80" s="223"/>
    </row>
    <row r="81">
      <c r="M81" s="127"/>
      <c r="U81" s="127"/>
      <c r="V81" s="223"/>
    </row>
    <row r="82">
      <c r="M82" s="127"/>
      <c r="U82" s="127"/>
      <c r="V82" s="223"/>
    </row>
    <row r="83">
      <c r="M83" s="127"/>
      <c r="U83" s="127"/>
      <c r="V83" s="223"/>
    </row>
    <row r="84">
      <c r="M84" s="127"/>
      <c r="U84" s="127"/>
      <c r="V84" s="223"/>
    </row>
    <row r="85">
      <c r="M85" s="127"/>
      <c r="U85" s="127"/>
      <c r="V85" s="223"/>
    </row>
    <row r="86">
      <c r="M86" s="127"/>
      <c r="U86" s="127"/>
      <c r="V86" s="223"/>
    </row>
    <row r="87">
      <c r="M87" s="127"/>
      <c r="U87" s="127"/>
      <c r="V87" s="223"/>
    </row>
    <row r="88">
      <c r="M88" s="127"/>
      <c r="U88" s="127"/>
      <c r="V88" s="223"/>
    </row>
    <row r="89">
      <c r="M89" s="127"/>
      <c r="U89" s="127"/>
      <c r="V89" s="223"/>
    </row>
    <row r="90">
      <c r="M90" s="127"/>
      <c r="U90" s="127"/>
      <c r="V90" s="223"/>
    </row>
    <row r="91">
      <c r="M91" s="127"/>
      <c r="U91" s="127"/>
      <c r="V91" s="223"/>
    </row>
    <row r="92">
      <c r="M92" s="127"/>
      <c r="U92" s="127"/>
      <c r="V92" s="223"/>
    </row>
    <row r="93">
      <c r="M93" s="127"/>
      <c r="U93" s="127"/>
      <c r="V93" s="223"/>
    </row>
    <row r="94">
      <c r="M94" s="127"/>
      <c r="U94" s="127"/>
      <c r="V94" s="223"/>
    </row>
    <row r="95">
      <c r="M95" s="127"/>
      <c r="U95" s="127"/>
      <c r="V95" s="223"/>
    </row>
    <row r="96">
      <c r="M96" s="127"/>
      <c r="U96" s="127"/>
      <c r="V96" s="223"/>
    </row>
    <row r="97">
      <c r="M97" s="127"/>
      <c r="U97" s="127"/>
      <c r="V97" s="223"/>
    </row>
    <row r="98">
      <c r="M98" s="127"/>
      <c r="U98" s="127"/>
      <c r="V98" s="223"/>
    </row>
    <row r="99">
      <c r="M99" s="127"/>
      <c r="U99" s="127"/>
      <c r="V99" s="223"/>
    </row>
    <row r="100">
      <c r="M100" s="127"/>
      <c r="U100" s="127"/>
      <c r="V100" s="223"/>
    </row>
    <row r="101">
      <c r="M101" s="127"/>
      <c r="U101" s="127"/>
      <c r="V101" s="223"/>
    </row>
    <row r="102">
      <c r="M102" s="127"/>
      <c r="U102" s="127"/>
      <c r="V102" s="223"/>
    </row>
    <row r="103">
      <c r="M103" s="127"/>
      <c r="U103" s="127"/>
      <c r="V103" s="223"/>
    </row>
    <row r="104">
      <c r="M104" s="127"/>
      <c r="U104" s="127"/>
      <c r="V104" s="223"/>
    </row>
    <row r="105">
      <c r="M105" s="127"/>
      <c r="U105" s="127"/>
      <c r="V105" s="223"/>
    </row>
    <row r="106">
      <c r="M106" s="127"/>
      <c r="U106" s="127"/>
      <c r="V106" s="223"/>
    </row>
    <row r="107">
      <c r="M107" s="127"/>
      <c r="U107" s="127"/>
      <c r="V107" s="223"/>
    </row>
    <row r="108">
      <c r="M108" s="127"/>
      <c r="U108" s="127"/>
      <c r="V108" s="223"/>
    </row>
    <row r="109">
      <c r="M109" s="127"/>
      <c r="U109" s="127"/>
      <c r="V109" s="223"/>
    </row>
    <row r="110">
      <c r="M110" s="127"/>
      <c r="U110" s="127"/>
      <c r="V110" s="223"/>
    </row>
    <row r="111">
      <c r="M111" s="127"/>
      <c r="U111" s="127"/>
      <c r="V111" s="223"/>
    </row>
    <row r="112">
      <c r="M112" s="127"/>
      <c r="U112" s="127"/>
      <c r="V112" s="223"/>
    </row>
    <row r="113">
      <c r="M113" s="127"/>
      <c r="U113" s="127"/>
      <c r="V113" s="223"/>
    </row>
    <row r="114">
      <c r="M114" s="127"/>
      <c r="U114" s="127"/>
      <c r="V114" s="223"/>
    </row>
    <row r="115">
      <c r="M115" s="127"/>
      <c r="U115" s="127"/>
      <c r="V115" s="223"/>
    </row>
    <row r="116">
      <c r="M116" s="127"/>
      <c r="U116" s="127"/>
      <c r="V116" s="223"/>
    </row>
    <row r="117">
      <c r="M117" s="127"/>
      <c r="U117" s="127"/>
      <c r="V117" s="223"/>
    </row>
    <row r="118">
      <c r="M118" s="127"/>
      <c r="U118" s="127"/>
      <c r="V118" s="223"/>
    </row>
    <row r="119">
      <c r="M119" s="127"/>
      <c r="U119" s="127"/>
      <c r="V119" s="223"/>
    </row>
    <row r="120">
      <c r="M120" s="127"/>
      <c r="U120" s="127"/>
      <c r="V120" s="223"/>
    </row>
    <row r="121">
      <c r="M121" s="127"/>
      <c r="U121" s="127"/>
      <c r="V121" s="223"/>
    </row>
    <row r="122">
      <c r="M122" s="127"/>
      <c r="U122" s="127"/>
      <c r="V122" s="223"/>
    </row>
    <row r="123">
      <c r="M123" s="127"/>
      <c r="U123" s="127"/>
      <c r="V123" s="223"/>
    </row>
    <row r="124">
      <c r="M124" s="127"/>
      <c r="U124" s="127"/>
      <c r="V124" s="223"/>
    </row>
    <row r="125">
      <c r="M125" s="127"/>
      <c r="U125" s="127"/>
      <c r="V125" s="223"/>
    </row>
    <row r="126">
      <c r="M126" s="127"/>
      <c r="U126" s="127"/>
      <c r="V126" s="223"/>
    </row>
    <row r="127">
      <c r="M127" s="127"/>
      <c r="U127" s="127"/>
      <c r="V127" s="223"/>
    </row>
    <row r="128">
      <c r="M128" s="127"/>
      <c r="U128" s="127"/>
      <c r="V128" s="223"/>
    </row>
    <row r="129">
      <c r="M129" s="127"/>
      <c r="U129" s="127"/>
      <c r="V129" s="223"/>
    </row>
    <row r="130">
      <c r="M130" s="127"/>
      <c r="U130" s="127"/>
      <c r="V130" s="223"/>
    </row>
    <row r="131">
      <c r="M131" s="127"/>
      <c r="U131" s="127"/>
      <c r="V131" s="223"/>
    </row>
    <row r="132">
      <c r="M132" s="127"/>
      <c r="U132" s="127"/>
      <c r="V132" s="223"/>
    </row>
    <row r="133">
      <c r="M133" s="127"/>
      <c r="U133" s="127"/>
      <c r="V133" s="223"/>
    </row>
    <row r="134">
      <c r="M134" s="127"/>
      <c r="U134" s="127"/>
      <c r="V134" s="223"/>
    </row>
    <row r="135">
      <c r="M135" s="127"/>
      <c r="U135" s="127"/>
      <c r="V135" s="223"/>
    </row>
    <row r="136">
      <c r="M136" s="127"/>
      <c r="U136" s="127"/>
      <c r="V136" s="223"/>
    </row>
    <row r="137">
      <c r="M137" s="127"/>
      <c r="U137" s="127"/>
      <c r="V137" s="223"/>
    </row>
    <row r="138">
      <c r="M138" s="127"/>
      <c r="U138" s="127"/>
      <c r="V138" s="223"/>
    </row>
    <row r="139">
      <c r="M139" s="127"/>
      <c r="U139" s="127"/>
      <c r="V139" s="223"/>
    </row>
    <row r="140">
      <c r="M140" s="127"/>
      <c r="U140" s="127"/>
      <c r="V140" s="223"/>
    </row>
    <row r="141">
      <c r="M141" s="127"/>
      <c r="U141" s="127"/>
      <c r="V141" s="223"/>
    </row>
    <row r="142">
      <c r="M142" s="127"/>
      <c r="U142" s="127"/>
      <c r="V142" s="223"/>
    </row>
    <row r="143">
      <c r="M143" s="127"/>
      <c r="U143" s="127"/>
      <c r="V143" s="223"/>
    </row>
    <row r="144">
      <c r="M144" s="127"/>
      <c r="U144" s="127"/>
      <c r="V144" s="223"/>
    </row>
    <row r="145">
      <c r="M145" s="127"/>
      <c r="U145" s="127"/>
      <c r="V145" s="223"/>
    </row>
    <row r="146">
      <c r="M146" s="127"/>
      <c r="U146" s="127"/>
      <c r="V146" s="223"/>
    </row>
    <row r="147">
      <c r="M147" s="127"/>
      <c r="U147" s="127"/>
      <c r="V147" s="223"/>
    </row>
    <row r="148">
      <c r="M148" s="127"/>
      <c r="U148" s="127"/>
      <c r="V148" s="223"/>
    </row>
    <row r="149">
      <c r="M149" s="127"/>
      <c r="U149" s="127"/>
      <c r="V149" s="223"/>
    </row>
    <row r="150">
      <c r="M150" s="127"/>
      <c r="U150" s="127"/>
      <c r="V150" s="223"/>
    </row>
    <row r="151">
      <c r="M151" s="127"/>
      <c r="U151" s="127"/>
      <c r="V151" s="223"/>
    </row>
    <row r="152">
      <c r="M152" s="127"/>
      <c r="U152" s="127"/>
      <c r="V152" s="223"/>
    </row>
    <row r="153">
      <c r="M153" s="127"/>
      <c r="U153" s="127"/>
      <c r="V153" s="223"/>
    </row>
    <row r="154">
      <c r="M154" s="127"/>
      <c r="U154" s="127"/>
      <c r="V154" s="223"/>
    </row>
    <row r="155">
      <c r="M155" s="127"/>
      <c r="U155" s="127"/>
      <c r="V155" s="223"/>
    </row>
    <row r="156">
      <c r="M156" s="127"/>
      <c r="U156" s="127"/>
      <c r="V156" s="223"/>
    </row>
    <row r="157">
      <c r="M157" s="127"/>
      <c r="U157" s="127"/>
      <c r="V157" s="223"/>
    </row>
    <row r="158">
      <c r="M158" s="127"/>
      <c r="U158" s="127"/>
      <c r="V158" s="223"/>
    </row>
    <row r="159">
      <c r="M159" s="127"/>
      <c r="U159" s="127"/>
      <c r="V159" s="223"/>
    </row>
    <row r="160">
      <c r="M160" s="127"/>
      <c r="U160" s="127"/>
      <c r="V160" s="223"/>
    </row>
    <row r="161">
      <c r="M161" s="127"/>
      <c r="U161" s="127"/>
      <c r="V161" s="223"/>
    </row>
    <row r="162">
      <c r="M162" s="127"/>
      <c r="U162" s="127"/>
      <c r="V162" s="223"/>
    </row>
    <row r="163">
      <c r="M163" s="127"/>
      <c r="U163" s="127"/>
      <c r="V163" s="223"/>
    </row>
    <row r="164">
      <c r="M164" s="127"/>
      <c r="U164" s="127"/>
      <c r="V164" s="223"/>
    </row>
    <row r="165">
      <c r="M165" s="127"/>
      <c r="U165" s="127"/>
      <c r="V165" s="223"/>
    </row>
    <row r="166">
      <c r="M166" s="127"/>
      <c r="U166" s="127"/>
      <c r="V166" s="223"/>
    </row>
    <row r="167">
      <c r="M167" s="127"/>
      <c r="U167" s="127"/>
      <c r="V167" s="223"/>
    </row>
    <row r="168">
      <c r="M168" s="127"/>
      <c r="U168" s="127"/>
      <c r="V168" s="223"/>
    </row>
    <row r="169">
      <c r="M169" s="127"/>
      <c r="U169" s="127"/>
      <c r="V169" s="223"/>
    </row>
    <row r="170">
      <c r="M170" s="127"/>
      <c r="U170" s="127"/>
      <c r="V170" s="223"/>
    </row>
    <row r="171">
      <c r="M171" s="127"/>
      <c r="U171" s="127"/>
      <c r="V171" s="223"/>
    </row>
    <row r="172">
      <c r="M172" s="127"/>
      <c r="U172" s="127"/>
      <c r="V172" s="223"/>
    </row>
    <row r="173">
      <c r="M173" s="127"/>
      <c r="U173" s="127"/>
      <c r="V173" s="223"/>
    </row>
    <row r="174">
      <c r="M174" s="127"/>
      <c r="U174" s="127"/>
      <c r="V174" s="223"/>
    </row>
    <row r="175">
      <c r="M175" s="127"/>
      <c r="U175" s="127"/>
      <c r="V175" s="223"/>
    </row>
    <row r="176">
      <c r="M176" s="127"/>
      <c r="U176" s="127"/>
      <c r="V176" s="223"/>
    </row>
    <row r="177">
      <c r="M177" s="127"/>
      <c r="U177" s="127"/>
      <c r="V177" s="223"/>
    </row>
    <row r="178">
      <c r="M178" s="127"/>
      <c r="U178" s="127"/>
      <c r="V178" s="223"/>
    </row>
    <row r="179">
      <c r="M179" s="127"/>
      <c r="U179" s="127"/>
      <c r="V179" s="223"/>
    </row>
    <row r="180">
      <c r="M180" s="127"/>
      <c r="U180" s="127"/>
      <c r="V180" s="223"/>
    </row>
    <row r="181">
      <c r="M181" s="127"/>
      <c r="U181" s="127"/>
      <c r="V181" s="223"/>
    </row>
    <row r="182">
      <c r="M182" s="127"/>
      <c r="U182" s="127"/>
      <c r="V182" s="223"/>
    </row>
    <row r="183">
      <c r="M183" s="127"/>
      <c r="U183" s="127"/>
      <c r="V183" s="223"/>
    </row>
    <row r="184">
      <c r="M184" s="127"/>
      <c r="U184" s="127"/>
      <c r="V184" s="223"/>
    </row>
    <row r="185">
      <c r="M185" s="127"/>
      <c r="U185" s="127"/>
      <c r="V185" s="223"/>
    </row>
    <row r="186">
      <c r="M186" s="127"/>
      <c r="U186" s="127"/>
      <c r="V186" s="223"/>
    </row>
    <row r="187">
      <c r="M187" s="127"/>
      <c r="U187" s="127"/>
      <c r="V187" s="223"/>
    </row>
    <row r="188">
      <c r="M188" s="127"/>
      <c r="U188" s="127"/>
      <c r="V188" s="223"/>
    </row>
    <row r="189">
      <c r="M189" s="127"/>
      <c r="U189" s="127"/>
      <c r="V189" s="223"/>
    </row>
    <row r="190">
      <c r="M190" s="127"/>
      <c r="U190" s="127"/>
      <c r="V190" s="223"/>
    </row>
    <row r="191">
      <c r="M191" s="127"/>
      <c r="U191" s="127"/>
      <c r="V191" s="223"/>
    </row>
    <row r="192">
      <c r="M192" s="127"/>
      <c r="U192" s="127"/>
      <c r="V192" s="223"/>
    </row>
    <row r="193">
      <c r="M193" s="127"/>
      <c r="U193" s="127"/>
      <c r="V193" s="223"/>
    </row>
    <row r="194">
      <c r="M194" s="127"/>
      <c r="U194" s="127"/>
      <c r="V194" s="223"/>
    </row>
    <row r="195">
      <c r="M195" s="127"/>
      <c r="U195" s="127"/>
      <c r="V195" s="223"/>
    </row>
    <row r="196">
      <c r="M196" s="127"/>
      <c r="U196" s="127"/>
      <c r="V196" s="223"/>
    </row>
    <row r="197">
      <c r="M197" s="127"/>
      <c r="U197" s="127"/>
      <c r="V197" s="223"/>
    </row>
    <row r="198">
      <c r="M198" s="127"/>
      <c r="U198" s="127"/>
      <c r="V198" s="223"/>
    </row>
    <row r="199">
      <c r="M199" s="127"/>
      <c r="U199" s="127"/>
      <c r="V199" s="223"/>
    </row>
    <row r="200">
      <c r="M200" s="127"/>
      <c r="U200" s="127"/>
      <c r="V200" s="223"/>
    </row>
    <row r="201">
      <c r="M201" s="127"/>
      <c r="U201" s="127"/>
      <c r="V201" s="223"/>
    </row>
    <row r="202">
      <c r="M202" s="127"/>
      <c r="U202" s="127"/>
      <c r="V202" s="223"/>
    </row>
    <row r="203">
      <c r="M203" s="127"/>
      <c r="U203" s="127"/>
      <c r="V203" s="223"/>
    </row>
    <row r="204">
      <c r="M204" s="127"/>
      <c r="U204" s="127"/>
      <c r="V204" s="223"/>
    </row>
    <row r="205">
      <c r="M205" s="127"/>
      <c r="U205" s="127"/>
      <c r="V205" s="223"/>
    </row>
    <row r="206">
      <c r="M206" s="127"/>
      <c r="U206" s="127"/>
      <c r="V206" s="223"/>
    </row>
    <row r="207">
      <c r="M207" s="127"/>
      <c r="U207" s="127"/>
      <c r="V207" s="223"/>
    </row>
    <row r="208">
      <c r="M208" s="127"/>
      <c r="U208" s="127"/>
      <c r="V208" s="223"/>
    </row>
    <row r="209">
      <c r="M209" s="127"/>
      <c r="U209" s="127"/>
      <c r="V209" s="223"/>
    </row>
    <row r="210">
      <c r="M210" s="127"/>
      <c r="U210" s="127"/>
      <c r="V210" s="223"/>
    </row>
    <row r="211">
      <c r="M211" s="127"/>
      <c r="U211" s="127"/>
      <c r="V211" s="223"/>
    </row>
    <row r="212">
      <c r="M212" s="127"/>
      <c r="U212" s="127"/>
      <c r="V212" s="223"/>
    </row>
    <row r="213">
      <c r="M213" s="127"/>
      <c r="U213" s="127"/>
      <c r="V213" s="223"/>
    </row>
    <row r="214">
      <c r="M214" s="127"/>
      <c r="U214" s="127"/>
      <c r="V214" s="223"/>
    </row>
    <row r="215">
      <c r="M215" s="127"/>
      <c r="U215" s="127"/>
      <c r="V215" s="223"/>
    </row>
    <row r="216">
      <c r="M216" s="127"/>
      <c r="U216" s="127"/>
      <c r="V216" s="223"/>
    </row>
    <row r="217">
      <c r="M217" s="127"/>
      <c r="U217" s="127"/>
      <c r="V217" s="223"/>
    </row>
    <row r="218">
      <c r="M218" s="127"/>
      <c r="U218" s="127"/>
      <c r="V218" s="223"/>
    </row>
    <row r="219">
      <c r="M219" s="127"/>
      <c r="U219" s="127"/>
      <c r="V219" s="223"/>
    </row>
    <row r="220">
      <c r="M220" s="127"/>
      <c r="U220" s="127"/>
      <c r="V220" s="223"/>
    </row>
    <row r="221">
      <c r="M221" s="127"/>
      <c r="U221" s="127"/>
      <c r="V221" s="223"/>
    </row>
    <row r="222">
      <c r="M222" s="127"/>
      <c r="U222" s="127"/>
      <c r="V222" s="223"/>
    </row>
    <row r="223">
      <c r="M223" s="127"/>
      <c r="U223" s="127"/>
      <c r="V223" s="223"/>
    </row>
    <row r="224">
      <c r="M224" s="127"/>
      <c r="U224" s="127"/>
      <c r="V224" s="223"/>
    </row>
    <row r="225">
      <c r="M225" s="127"/>
      <c r="U225" s="127"/>
      <c r="V225" s="223"/>
    </row>
    <row r="226">
      <c r="M226" s="127"/>
      <c r="U226" s="127"/>
      <c r="V226" s="223"/>
    </row>
    <row r="227">
      <c r="M227" s="127"/>
      <c r="U227" s="127"/>
      <c r="V227" s="223"/>
    </row>
    <row r="228">
      <c r="M228" s="127"/>
      <c r="U228" s="127"/>
      <c r="V228" s="223"/>
    </row>
    <row r="229">
      <c r="M229" s="127"/>
      <c r="U229" s="127"/>
      <c r="V229" s="223"/>
    </row>
    <row r="230">
      <c r="M230" s="127"/>
      <c r="U230" s="127"/>
      <c r="V230" s="223"/>
    </row>
    <row r="231">
      <c r="M231" s="127"/>
      <c r="U231" s="127"/>
      <c r="V231" s="223"/>
    </row>
    <row r="232">
      <c r="M232" s="127"/>
      <c r="U232" s="127"/>
      <c r="V232" s="223"/>
    </row>
    <row r="233">
      <c r="M233" s="127"/>
      <c r="U233" s="127"/>
      <c r="V233" s="223"/>
    </row>
    <row r="234">
      <c r="M234" s="127"/>
      <c r="U234" s="127"/>
      <c r="V234" s="223"/>
    </row>
    <row r="235">
      <c r="M235" s="127"/>
      <c r="U235" s="127"/>
      <c r="V235" s="223"/>
    </row>
    <row r="236">
      <c r="M236" s="127"/>
      <c r="U236" s="127"/>
      <c r="V236" s="223"/>
    </row>
    <row r="237">
      <c r="M237" s="127"/>
      <c r="U237" s="127"/>
      <c r="V237" s="223"/>
    </row>
    <row r="238">
      <c r="M238" s="127"/>
      <c r="U238" s="127"/>
      <c r="V238" s="223"/>
    </row>
    <row r="239">
      <c r="M239" s="127"/>
      <c r="U239" s="127"/>
      <c r="V239" s="223"/>
    </row>
    <row r="240">
      <c r="M240" s="127"/>
      <c r="U240" s="127"/>
      <c r="V240" s="223"/>
    </row>
    <row r="241">
      <c r="M241" s="127"/>
      <c r="U241" s="127"/>
      <c r="V241" s="223"/>
    </row>
    <row r="242">
      <c r="M242" s="127"/>
      <c r="U242" s="127"/>
      <c r="V242" s="223"/>
    </row>
    <row r="243">
      <c r="M243" s="127"/>
      <c r="U243" s="127"/>
      <c r="V243" s="223"/>
    </row>
    <row r="244">
      <c r="M244" s="127"/>
      <c r="U244" s="127"/>
      <c r="V244" s="223"/>
    </row>
    <row r="245">
      <c r="M245" s="127"/>
      <c r="U245" s="127"/>
      <c r="V245" s="223"/>
    </row>
    <row r="246">
      <c r="M246" s="127"/>
      <c r="U246" s="127"/>
      <c r="V246" s="223"/>
    </row>
    <row r="247">
      <c r="M247" s="127"/>
      <c r="U247" s="127"/>
      <c r="V247" s="223"/>
    </row>
    <row r="248">
      <c r="M248" s="127"/>
      <c r="U248" s="127"/>
      <c r="V248" s="223"/>
    </row>
    <row r="249">
      <c r="M249" s="127"/>
      <c r="U249" s="127"/>
      <c r="V249" s="223"/>
    </row>
    <row r="250">
      <c r="M250" s="127"/>
      <c r="U250" s="127"/>
      <c r="V250" s="223"/>
    </row>
    <row r="251">
      <c r="M251" s="127"/>
      <c r="U251" s="127"/>
      <c r="V251" s="223"/>
    </row>
    <row r="252">
      <c r="M252" s="127"/>
      <c r="U252" s="127"/>
      <c r="V252" s="223"/>
    </row>
    <row r="253">
      <c r="M253" s="127"/>
      <c r="U253" s="127"/>
      <c r="V253" s="223"/>
    </row>
    <row r="254">
      <c r="M254" s="127"/>
      <c r="U254" s="127"/>
      <c r="V254" s="223"/>
    </row>
    <row r="255">
      <c r="M255" s="127"/>
      <c r="U255" s="127"/>
      <c r="V255" s="223"/>
    </row>
    <row r="256">
      <c r="M256" s="127"/>
      <c r="U256" s="127"/>
      <c r="V256" s="223"/>
    </row>
    <row r="257">
      <c r="M257" s="127"/>
      <c r="U257" s="127"/>
      <c r="V257" s="223"/>
    </row>
    <row r="258">
      <c r="M258" s="127"/>
      <c r="U258" s="127"/>
      <c r="V258" s="223"/>
    </row>
    <row r="259">
      <c r="M259" s="127"/>
      <c r="U259" s="127"/>
      <c r="V259" s="223"/>
    </row>
    <row r="260">
      <c r="M260" s="127"/>
      <c r="U260" s="127"/>
      <c r="V260" s="223"/>
    </row>
    <row r="261">
      <c r="M261" s="127"/>
      <c r="U261" s="127"/>
      <c r="V261" s="223"/>
    </row>
    <row r="262">
      <c r="M262" s="127"/>
      <c r="U262" s="127"/>
      <c r="V262" s="223"/>
    </row>
    <row r="263">
      <c r="M263" s="127"/>
      <c r="U263" s="127"/>
      <c r="V263" s="223"/>
    </row>
    <row r="264">
      <c r="M264" s="127"/>
      <c r="U264" s="127"/>
      <c r="V264" s="223"/>
    </row>
    <row r="265">
      <c r="M265" s="127"/>
      <c r="U265" s="127"/>
      <c r="V265" s="223"/>
    </row>
    <row r="266">
      <c r="M266" s="127"/>
      <c r="U266" s="127"/>
      <c r="V266" s="223"/>
    </row>
    <row r="267">
      <c r="M267" s="127"/>
      <c r="U267" s="127"/>
      <c r="V267" s="223"/>
    </row>
    <row r="268">
      <c r="M268" s="127"/>
      <c r="U268" s="127"/>
      <c r="V268" s="223"/>
    </row>
    <row r="269">
      <c r="M269" s="127"/>
      <c r="U269" s="127"/>
      <c r="V269" s="223"/>
    </row>
    <row r="270">
      <c r="M270" s="127"/>
      <c r="U270" s="127"/>
      <c r="V270" s="223"/>
    </row>
    <row r="271">
      <c r="M271" s="127"/>
      <c r="U271" s="127"/>
      <c r="V271" s="223"/>
    </row>
    <row r="272">
      <c r="M272" s="127"/>
      <c r="U272" s="127"/>
      <c r="V272" s="223"/>
    </row>
    <row r="273">
      <c r="M273" s="127"/>
      <c r="U273" s="127"/>
      <c r="V273" s="223"/>
    </row>
    <row r="274">
      <c r="M274" s="127"/>
      <c r="U274" s="127"/>
      <c r="V274" s="223"/>
    </row>
    <row r="275">
      <c r="M275" s="127"/>
      <c r="U275" s="127"/>
      <c r="V275" s="223"/>
    </row>
    <row r="276">
      <c r="M276" s="127"/>
      <c r="U276" s="127"/>
      <c r="V276" s="223"/>
    </row>
    <row r="277">
      <c r="M277" s="127"/>
      <c r="U277" s="127"/>
      <c r="V277" s="223"/>
    </row>
    <row r="278">
      <c r="M278" s="127"/>
      <c r="U278" s="127"/>
      <c r="V278" s="223"/>
    </row>
    <row r="279">
      <c r="M279" s="127"/>
      <c r="U279" s="127"/>
      <c r="V279" s="223"/>
    </row>
    <row r="280">
      <c r="M280" s="127"/>
      <c r="U280" s="127"/>
      <c r="V280" s="223"/>
    </row>
    <row r="281">
      <c r="M281" s="127"/>
      <c r="U281" s="127"/>
      <c r="V281" s="223"/>
    </row>
    <row r="282">
      <c r="M282" s="127"/>
      <c r="U282" s="127"/>
      <c r="V282" s="223"/>
    </row>
    <row r="283">
      <c r="M283" s="127"/>
      <c r="U283" s="127"/>
      <c r="V283" s="223"/>
    </row>
    <row r="284">
      <c r="M284" s="127"/>
      <c r="U284" s="127"/>
      <c r="V284" s="223"/>
    </row>
    <row r="285">
      <c r="M285" s="127"/>
      <c r="U285" s="127"/>
      <c r="V285" s="223"/>
    </row>
    <row r="286">
      <c r="M286" s="127"/>
      <c r="U286" s="127"/>
      <c r="V286" s="223"/>
    </row>
    <row r="287">
      <c r="M287" s="127"/>
      <c r="U287" s="127"/>
      <c r="V287" s="223"/>
    </row>
    <row r="288">
      <c r="M288" s="127"/>
      <c r="U288" s="127"/>
      <c r="V288" s="223"/>
    </row>
    <row r="289">
      <c r="M289" s="127"/>
      <c r="U289" s="127"/>
      <c r="V289" s="223"/>
    </row>
    <row r="290">
      <c r="M290" s="127"/>
      <c r="U290" s="127"/>
      <c r="V290" s="223"/>
    </row>
    <row r="291">
      <c r="M291" s="127"/>
      <c r="U291" s="127"/>
      <c r="V291" s="223"/>
    </row>
    <row r="292">
      <c r="M292" s="127"/>
      <c r="U292" s="127"/>
      <c r="V292" s="223"/>
    </row>
    <row r="293">
      <c r="M293" s="127"/>
      <c r="U293" s="127"/>
      <c r="V293" s="223"/>
    </row>
    <row r="294">
      <c r="M294" s="127"/>
      <c r="U294" s="127"/>
      <c r="V294" s="223"/>
    </row>
    <row r="295">
      <c r="M295" s="127"/>
      <c r="U295" s="127"/>
      <c r="V295" s="223"/>
    </row>
    <row r="296">
      <c r="M296" s="127"/>
      <c r="U296" s="127"/>
      <c r="V296" s="223"/>
    </row>
    <row r="297">
      <c r="M297" s="127"/>
      <c r="U297" s="127"/>
      <c r="V297" s="223"/>
    </row>
    <row r="298">
      <c r="M298" s="127"/>
      <c r="U298" s="127"/>
      <c r="V298" s="223"/>
    </row>
    <row r="299">
      <c r="M299" s="127"/>
      <c r="U299" s="127"/>
      <c r="V299" s="223"/>
    </row>
    <row r="300">
      <c r="M300" s="127"/>
      <c r="U300" s="127"/>
      <c r="V300" s="223"/>
    </row>
    <row r="301">
      <c r="M301" s="127"/>
      <c r="U301" s="127"/>
      <c r="V301" s="223"/>
    </row>
    <row r="302">
      <c r="M302" s="127"/>
      <c r="U302" s="127"/>
      <c r="V302" s="223"/>
    </row>
    <row r="303">
      <c r="M303" s="127"/>
      <c r="U303" s="127"/>
      <c r="V303" s="223"/>
    </row>
    <row r="304">
      <c r="M304" s="127"/>
      <c r="U304" s="127"/>
      <c r="V304" s="223"/>
    </row>
    <row r="305">
      <c r="M305" s="127"/>
      <c r="U305" s="127"/>
      <c r="V305" s="223"/>
    </row>
    <row r="306">
      <c r="M306" s="127"/>
      <c r="U306" s="127"/>
      <c r="V306" s="223"/>
    </row>
    <row r="307">
      <c r="M307" s="127"/>
      <c r="U307" s="127"/>
      <c r="V307" s="223"/>
    </row>
    <row r="308">
      <c r="M308" s="127"/>
      <c r="U308" s="127"/>
      <c r="V308" s="223"/>
    </row>
    <row r="309">
      <c r="M309" s="127"/>
      <c r="U309" s="127"/>
      <c r="V309" s="223"/>
    </row>
    <row r="310">
      <c r="M310" s="127"/>
      <c r="U310" s="127"/>
      <c r="V310" s="223"/>
    </row>
    <row r="311">
      <c r="M311" s="127"/>
      <c r="U311" s="127"/>
      <c r="V311" s="223"/>
    </row>
    <row r="312">
      <c r="M312" s="127"/>
      <c r="U312" s="127"/>
      <c r="V312" s="223"/>
    </row>
    <row r="313">
      <c r="M313" s="127"/>
      <c r="U313" s="127"/>
      <c r="V313" s="223"/>
    </row>
    <row r="314">
      <c r="M314" s="127"/>
      <c r="U314" s="127"/>
      <c r="V314" s="223"/>
    </row>
    <row r="315">
      <c r="M315" s="127"/>
      <c r="U315" s="127"/>
      <c r="V315" s="223"/>
    </row>
    <row r="316">
      <c r="M316" s="127"/>
      <c r="U316" s="127"/>
      <c r="V316" s="223"/>
    </row>
    <row r="317">
      <c r="M317" s="127"/>
      <c r="U317" s="127"/>
      <c r="V317" s="223"/>
    </row>
    <row r="318">
      <c r="M318" s="127"/>
      <c r="U318" s="127"/>
      <c r="V318" s="223"/>
    </row>
    <row r="319">
      <c r="M319" s="127"/>
      <c r="U319" s="127"/>
      <c r="V319" s="223"/>
    </row>
    <row r="320">
      <c r="M320" s="127"/>
      <c r="U320" s="127"/>
      <c r="V320" s="223"/>
    </row>
    <row r="321">
      <c r="M321" s="127"/>
      <c r="U321" s="127"/>
      <c r="V321" s="223"/>
    </row>
    <row r="322">
      <c r="M322" s="127"/>
      <c r="U322" s="127"/>
      <c r="V322" s="223"/>
    </row>
    <row r="323">
      <c r="M323" s="127"/>
      <c r="U323" s="127"/>
      <c r="V323" s="223"/>
    </row>
    <row r="324">
      <c r="M324" s="127"/>
      <c r="U324" s="127"/>
      <c r="V324" s="223"/>
    </row>
    <row r="325">
      <c r="M325" s="127"/>
      <c r="U325" s="127"/>
      <c r="V325" s="223"/>
    </row>
    <row r="326">
      <c r="M326" s="127"/>
      <c r="U326" s="127"/>
      <c r="V326" s="223"/>
    </row>
    <row r="327">
      <c r="M327" s="127"/>
      <c r="U327" s="127"/>
      <c r="V327" s="223"/>
    </row>
    <row r="328">
      <c r="M328" s="127"/>
      <c r="U328" s="127"/>
      <c r="V328" s="223"/>
    </row>
    <row r="329">
      <c r="M329" s="127"/>
      <c r="U329" s="127"/>
      <c r="V329" s="223"/>
    </row>
    <row r="330">
      <c r="M330" s="127"/>
      <c r="U330" s="127"/>
      <c r="V330" s="223"/>
    </row>
    <row r="331">
      <c r="M331" s="127"/>
      <c r="U331" s="127"/>
      <c r="V331" s="223"/>
    </row>
    <row r="332">
      <c r="M332" s="127"/>
      <c r="U332" s="127"/>
      <c r="V332" s="223"/>
    </row>
    <row r="333">
      <c r="M333" s="127"/>
      <c r="U333" s="127"/>
      <c r="V333" s="223"/>
    </row>
    <row r="334">
      <c r="M334" s="127"/>
      <c r="U334" s="127"/>
      <c r="V334" s="223"/>
    </row>
    <row r="335">
      <c r="M335" s="127"/>
      <c r="U335" s="127"/>
      <c r="V335" s="223"/>
    </row>
    <row r="336">
      <c r="M336" s="127"/>
      <c r="U336" s="127"/>
      <c r="V336" s="223"/>
    </row>
    <row r="337">
      <c r="M337" s="127"/>
      <c r="U337" s="127"/>
      <c r="V337" s="223"/>
    </row>
    <row r="338">
      <c r="M338" s="127"/>
      <c r="U338" s="127"/>
      <c r="V338" s="223"/>
    </row>
    <row r="339">
      <c r="M339" s="127"/>
      <c r="U339" s="127"/>
      <c r="V339" s="223"/>
    </row>
    <row r="340">
      <c r="M340" s="127"/>
      <c r="U340" s="127"/>
      <c r="V340" s="223"/>
    </row>
    <row r="341">
      <c r="M341" s="127"/>
      <c r="U341" s="127"/>
      <c r="V341" s="223"/>
    </row>
    <row r="342">
      <c r="M342" s="127"/>
      <c r="U342" s="127"/>
      <c r="V342" s="223"/>
    </row>
    <row r="343">
      <c r="M343" s="127"/>
      <c r="U343" s="127"/>
      <c r="V343" s="223"/>
    </row>
    <row r="344">
      <c r="M344" s="127"/>
      <c r="U344" s="127"/>
      <c r="V344" s="223"/>
    </row>
    <row r="345">
      <c r="M345" s="127"/>
      <c r="U345" s="127"/>
      <c r="V345" s="223"/>
    </row>
    <row r="346">
      <c r="M346" s="127"/>
      <c r="U346" s="127"/>
      <c r="V346" s="223"/>
    </row>
    <row r="347">
      <c r="M347" s="127"/>
      <c r="U347" s="127"/>
      <c r="V347" s="223"/>
    </row>
    <row r="348">
      <c r="M348" s="127"/>
      <c r="U348" s="127"/>
      <c r="V348" s="223"/>
    </row>
    <row r="349">
      <c r="M349" s="127"/>
      <c r="U349" s="127"/>
      <c r="V349" s="223"/>
    </row>
    <row r="350">
      <c r="M350" s="127"/>
      <c r="U350" s="127"/>
      <c r="V350" s="223"/>
    </row>
    <row r="351">
      <c r="M351" s="127"/>
      <c r="U351" s="127"/>
      <c r="V351" s="223"/>
    </row>
    <row r="352">
      <c r="M352" s="127"/>
      <c r="U352" s="127"/>
      <c r="V352" s="223"/>
    </row>
    <row r="353">
      <c r="M353" s="127"/>
      <c r="U353" s="127"/>
      <c r="V353" s="223"/>
    </row>
    <row r="354">
      <c r="M354" s="127"/>
      <c r="U354" s="127"/>
      <c r="V354" s="223"/>
    </row>
    <row r="355">
      <c r="M355" s="127"/>
      <c r="U355" s="127"/>
      <c r="V355" s="223"/>
    </row>
    <row r="356">
      <c r="M356" s="127"/>
      <c r="U356" s="127"/>
      <c r="V356" s="223"/>
    </row>
    <row r="357">
      <c r="M357" s="127"/>
      <c r="U357" s="127"/>
      <c r="V357" s="223"/>
    </row>
    <row r="358">
      <c r="M358" s="127"/>
      <c r="U358" s="127"/>
      <c r="V358" s="223"/>
    </row>
    <row r="359">
      <c r="M359" s="127"/>
      <c r="U359" s="127"/>
      <c r="V359" s="223"/>
    </row>
    <row r="360">
      <c r="M360" s="127"/>
      <c r="U360" s="127"/>
      <c r="V360" s="223"/>
    </row>
    <row r="361">
      <c r="M361" s="127"/>
      <c r="U361" s="127"/>
      <c r="V361" s="223"/>
    </row>
    <row r="362">
      <c r="M362" s="127"/>
      <c r="U362" s="127"/>
      <c r="V362" s="223"/>
    </row>
    <row r="363">
      <c r="M363" s="127"/>
      <c r="U363" s="127"/>
      <c r="V363" s="223"/>
    </row>
    <row r="364">
      <c r="M364" s="127"/>
      <c r="U364" s="127"/>
      <c r="V364" s="223"/>
    </row>
    <row r="365">
      <c r="M365" s="127"/>
      <c r="U365" s="127"/>
      <c r="V365" s="223"/>
    </row>
    <row r="366">
      <c r="M366" s="127"/>
      <c r="U366" s="127"/>
      <c r="V366" s="223"/>
    </row>
    <row r="367">
      <c r="M367" s="127"/>
      <c r="U367" s="127"/>
      <c r="V367" s="223"/>
    </row>
    <row r="368">
      <c r="M368" s="127"/>
      <c r="U368" s="127"/>
      <c r="V368" s="223"/>
    </row>
    <row r="369">
      <c r="M369" s="127"/>
      <c r="U369" s="127"/>
      <c r="V369" s="223"/>
    </row>
    <row r="370">
      <c r="M370" s="127"/>
      <c r="U370" s="127"/>
      <c r="V370" s="223"/>
    </row>
    <row r="371">
      <c r="M371" s="127"/>
      <c r="U371" s="127"/>
      <c r="V371" s="223"/>
    </row>
    <row r="372">
      <c r="M372" s="127"/>
      <c r="U372" s="127"/>
      <c r="V372" s="223"/>
    </row>
    <row r="373">
      <c r="M373" s="127"/>
      <c r="U373" s="127"/>
      <c r="V373" s="223"/>
    </row>
    <row r="374">
      <c r="M374" s="127"/>
      <c r="U374" s="127"/>
      <c r="V374" s="223"/>
    </row>
    <row r="375">
      <c r="M375" s="127"/>
      <c r="U375" s="127"/>
      <c r="V375" s="223"/>
    </row>
    <row r="376">
      <c r="M376" s="127"/>
      <c r="U376" s="127"/>
      <c r="V376" s="223"/>
    </row>
    <row r="377">
      <c r="M377" s="127"/>
      <c r="U377" s="127"/>
      <c r="V377" s="223"/>
    </row>
    <row r="378">
      <c r="M378" s="127"/>
      <c r="U378" s="127"/>
      <c r="V378" s="223"/>
    </row>
    <row r="379">
      <c r="M379" s="127"/>
      <c r="U379" s="127"/>
      <c r="V379" s="223"/>
    </row>
    <row r="380">
      <c r="M380" s="127"/>
      <c r="U380" s="127"/>
      <c r="V380" s="223"/>
    </row>
    <row r="381">
      <c r="M381" s="127"/>
      <c r="U381" s="127"/>
      <c r="V381" s="223"/>
    </row>
    <row r="382">
      <c r="M382" s="127"/>
      <c r="U382" s="127"/>
      <c r="V382" s="223"/>
    </row>
    <row r="383">
      <c r="M383" s="127"/>
      <c r="U383" s="127"/>
      <c r="V383" s="223"/>
    </row>
    <row r="384">
      <c r="M384" s="127"/>
      <c r="U384" s="127"/>
      <c r="V384" s="223"/>
    </row>
    <row r="385">
      <c r="M385" s="127"/>
      <c r="U385" s="127"/>
      <c r="V385" s="223"/>
    </row>
    <row r="386">
      <c r="M386" s="127"/>
      <c r="U386" s="127"/>
      <c r="V386" s="223"/>
    </row>
    <row r="387">
      <c r="M387" s="127"/>
      <c r="U387" s="127"/>
      <c r="V387" s="223"/>
    </row>
    <row r="388">
      <c r="M388" s="127"/>
      <c r="U388" s="127"/>
      <c r="V388" s="223"/>
    </row>
    <row r="389">
      <c r="M389" s="127"/>
      <c r="U389" s="127"/>
      <c r="V389" s="223"/>
    </row>
    <row r="390">
      <c r="M390" s="127"/>
      <c r="U390" s="127"/>
      <c r="V390" s="223"/>
    </row>
    <row r="391">
      <c r="M391" s="127"/>
      <c r="U391" s="127"/>
      <c r="V391" s="223"/>
    </row>
    <row r="392">
      <c r="M392" s="127"/>
      <c r="U392" s="127"/>
      <c r="V392" s="223"/>
    </row>
    <row r="393">
      <c r="M393" s="127"/>
      <c r="U393" s="127"/>
      <c r="V393" s="223"/>
    </row>
    <row r="394">
      <c r="M394" s="127"/>
      <c r="U394" s="127"/>
      <c r="V394" s="223"/>
    </row>
    <row r="395">
      <c r="M395" s="127"/>
      <c r="U395" s="127"/>
      <c r="V395" s="223"/>
    </row>
    <row r="396">
      <c r="M396" s="127"/>
      <c r="U396" s="127"/>
      <c r="V396" s="223"/>
    </row>
    <row r="397">
      <c r="M397" s="127"/>
      <c r="U397" s="127"/>
      <c r="V397" s="223"/>
    </row>
    <row r="398">
      <c r="M398" s="127"/>
      <c r="U398" s="127"/>
      <c r="V398" s="223"/>
    </row>
    <row r="399">
      <c r="M399" s="127"/>
      <c r="U399" s="127"/>
      <c r="V399" s="223"/>
    </row>
    <row r="400">
      <c r="M400" s="127"/>
      <c r="U400" s="127"/>
      <c r="V400" s="223"/>
    </row>
    <row r="401">
      <c r="M401" s="127"/>
      <c r="U401" s="127"/>
      <c r="V401" s="223"/>
    </row>
    <row r="402">
      <c r="M402" s="127"/>
      <c r="U402" s="127"/>
      <c r="V402" s="223"/>
    </row>
    <row r="403">
      <c r="M403" s="127"/>
      <c r="U403" s="127"/>
      <c r="V403" s="223"/>
    </row>
    <row r="404">
      <c r="M404" s="127"/>
      <c r="U404" s="127"/>
      <c r="V404" s="223"/>
    </row>
    <row r="405">
      <c r="M405" s="127"/>
      <c r="U405" s="127"/>
      <c r="V405" s="223"/>
    </row>
    <row r="406">
      <c r="M406" s="127"/>
      <c r="U406" s="127"/>
      <c r="V406" s="223"/>
    </row>
    <row r="407">
      <c r="M407" s="127"/>
      <c r="U407" s="127"/>
      <c r="V407" s="223"/>
    </row>
    <row r="408">
      <c r="M408" s="127"/>
      <c r="U408" s="127"/>
      <c r="V408" s="223"/>
    </row>
    <row r="409">
      <c r="M409" s="127"/>
      <c r="U409" s="127"/>
      <c r="V409" s="223"/>
    </row>
    <row r="410">
      <c r="M410" s="127"/>
      <c r="U410" s="127"/>
      <c r="V410" s="223"/>
    </row>
    <row r="411">
      <c r="M411" s="127"/>
      <c r="U411" s="127"/>
      <c r="V411" s="223"/>
    </row>
    <row r="412">
      <c r="M412" s="127"/>
      <c r="U412" s="127"/>
      <c r="V412" s="223"/>
    </row>
    <row r="413">
      <c r="M413" s="127"/>
      <c r="U413" s="127"/>
      <c r="V413" s="223"/>
    </row>
    <row r="414">
      <c r="M414" s="127"/>
      <c r="U414" s="127"/>
      <c r="V414" s="223"/>
    </row>
    <row r="415">
      <c r="M415" s="127"/>
      <c r="U415" s="127"/>
      <c r="V415" s="223"/>
    </row>
    <row r="416">
      <c r="M416" s="127"/>
      <c r="U416" s="127"/>
      <c r="V416" s="223"/>
    </row>
    <row r="417">
      <c r="M417" s="127"/>
      <c r="U417" s="127"/>
      <c r="V417" s="223"/>
    </row>
    <row r="418">
      <c r="M418" s="127"/>
      <c r="U418" s="127"/>
      <c r="V418" s="223"/>
    </row>
    <row r="419">
      <c r="M419" s="127"/>
      <c r="U419" s="127"/>
      <c r="V419" s="223"/>
    </row>
    <row r="420">
      <c r="M420" s="127"/>
      <c r="U420" s="127"/>
      <c r="V420" s="223"/>
    </row>
    <row r="421">
      <c r="M421" s="127"/>
      <c r="U421" s="127"/>
      <c r="V421" s="223"/>
    </row>
    <row r="422">
      <c r="M422" s="127"/>
      <c r="U422" s="127"/>
      <c r="V422" s="223"/>
    </row>
    <row r="423">
      <c r="M423" s="127"/>
      <c r="U423" s="127"/>
      <c r="V423" s="223"/>
    </row>
    <row r="424">
      <c r="M424" s="127"/>
      <c r="U424" s="127"/>
      <c r="V424" s="223"/>
    </row>
    <row r="425">
      <c r="M425" s="127"/>
      <c r="U425" s="127"/>
      <c r="V425" s="223"/>
    </row>
    <row r="426">
      <c r="M426" s="127"/>
      <c r="U426" s="127"/>
      <c r="V426" s="223"/>
    </row>
    <row r="427">
      <c r="M427" s="127"/>
      <c r="U427" s="127"/>
      <c r="V427" s="223"/>
    </row>
    <row r="428">
      <c r="M428" s="127"/>
      <c r="U428" s="127"/>
      <c r="V428" s="223"/>
    </row>
    <row r="429">
      <c r="M429" s="127"/>
      <c r="U429" s="127"/>
      <c r="V429" s="223"/>
    </row>
    <row r="430">
      <c r="M430" s="127"/>
      <c r="U430" s="127"/>
      <c r="V430" s="223"/>
    </row>
    <row r="431">
      <c r="M431" s="127"/>
      <c r="U431" s="127"/>
      <c r="V431" s="223"/>
    </row>
    <row r="432">
      <c r="M432" s="127"/>
      <c r="U432" s="127"/>
      <c r="V432" s="223"/>
    </row>
    <row r="433">
      <c r="M433" s="127"/>
      <c r="U433" s="127"/>
      <c r="V433" s="223"/>
    </row>
    <row r="434">
      <c r="M434" s="127"/>
      <c r="U434" s="127"/>
      <c r="V434" s="223"/>
    </row>
    <row r="435">
      <c r="M435" s="127"/>
      <c r="U435" s="127"/>
      <c r="V435" s="223"/>
    </row>
    <row r="436">
      <c r="M436" s="127"/>
      <c r="U436" s="127"/>
      <c r="V436" s="223"/>
    </row>
    <row r="437">
      <c r="M437" s="127"/>
      <c r="U437" s="127"/>
      <c r="V437" s="223"/>
    </row>
    <row r="438">
      <c r="M438" s="127"/>
      <c r="U438" s="127"/>
      <c r="V438" s="223"/>
    </row>
    <row r="439">
      <c r="M439" s="127"/>
      <c r="U439" s="127"/>
      <c r="V439" s="223"/>
    </row>
    <row r="440">
      <c r="M440" s="127"/>
      <c r="U440" s="127"/>
      <c r="V440" s="223"/>
    </row>
    <row r="441">
      <c r="M441" s="127"/>
      <c r="U441" s="127"/>
      <c r="V441" s="223"/>
    </row>
    <row r="442">
      <c r="M442" s="127"/>
      <c r="U442" s="127"/>
      <c r="V442" s="223"/>
    </row>
    <row r="443">
      <c r="M443" s="127"/>
      <c r="U443" s="127"/>
      <c r="V443" s="223"/>
    </row>
    <row r="444">
      <c r="M444" s="127"/>
      <c r="U444" s="127"/>
      <c r="V444" s="223"/>
    </row>
    <row r="445">
      <c r="M445" s="127"/>
      <c r="U445" s="127"/>
      <c r="V445" s="223"/>
    </row>
    <row r="446">
      <c r="M446" s="127"/>
      <c r="U446" s="127"/>
      <c r="V446" s="223"/>
    </row>
    <row r="447">
      <c r="M447" s="127"/>
      <c r="U447" s="127"/>
      <c r="V447" s="223"/>
    </row>
    <row r="448">
      <c r="M448" s="127"/>
      <c r="U448" s="127"/>
      <c r="V448" s="223"/>
    </row>
    <row r="449">
      <c r="M449" s="127"/>
      <c r="U449" s="127"/>
      <c r="V449" s="223"/>
    </row>
    <row r="450">
      <c r="M450" s="127"/>
      <c r="U450" s="127"/>
      <c r="V450" s="223"/>
    </row>
    <row r="451">
      <c r="M451" s="127"/>
      <c r="U451" s="127"/>
      <c r="V451" s="223"/>
    </row>
    <row r="452">
      <c r="M452" s="127"/>
      <c r="U452" s="127"/>
      <c r="V452" s="223"/>
    </row>
    <row r="453">
      <c r="M453" s="127"/>
      <c r="U453" s="127"/>
      <c r="V453" s="223"/>
    </row>
    <row r="454">
      <c r="M454" s="127"/>
      <c r="U454" s="127"/>
      <c r="V454" s="223"/>
    </row>
    <row r="455">
      <c r="M455" s="127"/>
      <c r="U455" s="127"/>
      <c r="V455" s="223"/>
    </row>
    <row r="456">
      <c r="M456" s="127"/>
      <c r="U456" s="127"/>
      <c r="V456" s="223"/>
    </row>
    <row r="457">
      <c r="M457" s="127"/>
      <c r="U457" s="127"/>
      <c r="V457" s="223"/>
    </row>
    <row r="458">
      <c r="M458" s="127"/>
      <c r="U458" s="127"/>
      <c r="V458" s="223"/>
    </row>
    <row r="459">
      <c r="M459" s="127"/>
      <c r="U459" s="127"/>
      <c r="V459" s="223"/>
    </row>
    <row r="460">
      <c r="M460" s="127"/>
      <c r="U460" s="127"/>
      <c r="V460" s="223"/>
    </row>
    <row r="461">
      <c r="M461" s="127"/>
      <c r="U461" s="127"/>
      <c r="V461" s="223"/>
    </row>
    <row r="462">
      <c r="M462" s="127"/>
      <c r="U462" s="127"/>
      <c r="V462" s="223"/>
    </row>
    <row r="463">
      <c r="M463" s="127"/>
      <c r="U463" s="127"/>
      <c r="V463" s="223"/>
    </row>
    <row r="464">
      <c r="M464" s="127"/>
      <c r="U464" s="127"/>
      <c r="V464" s="223"/>
    </row>
    <row r="465">
      <c r="M465" s="127"/>
      <c r="U465" s="127"/>
      <c r="V465" s="223"/>
    </row>
    <row r="466">
      <c r="M466" s="127"/>
      <c r="U466" s="127"/>
      <c r="V466" s="223"/>
    </row>
    <row r="467">
      <c r="M467" s="127"/>
      <c r="U467" s="127"/>
      <c r="V467" s="223"/>
    </row>
    <row r="468">
      <c r="M468" s="127"/>
      <c r="U468" s="127"/>
      <c r="V468" s="223"/>
    </row>
    <row r="469">
      <c r="M469" s="127"/>
      <c r="U469" s="127"/>
      <c r="V469" s="223"/>
    </row>
    <row r="470">
      <c r="M470" s="127"/>
      <c r="U470" s="127"/>
      <c r="V470" s="223"/>
    </row>
    <row r="471">
      <c r="M471" s="127"/>
      <c r="U471" s="127"/>
      <c r="V471" s="223"/>
    </row>
    <row r="472">
      <c r="M472" s="127"/>
      <c r="U472" s="127"/>
      <c r="V472" s="223"/>
    </row>
    <row r="473">
      <c r="M473" s="127"/>
      <c r="U473" s="127"/>
      <c r="V473" s="223"/>
    </row>
    <row r="474">
      <c r="M474" s="127"/>
      <c r="U474" s="127"/>
      <c r="V474" s="223"/>
    </row>
    <row r="475">
      <c r="M475" s="127"/>
      <c r="U475" s="127"/>
      <c r="V475" s="223"/>
    </row>
    <row r="476">
      <c r="M476" s="127"/>
      <c r="U476" s="127"/>
      <c r="V476" s="223"/>
    </row>
    <row r="477">
      <c r="M477" s="127"/>
      <c r="U477" s="127"/>
      <c r="V477" s="223"/>
    </row>
    <row r="478">
      <c r="M478" s="127"/>
      <c r="U478" s="127"/>
      <c r="V478" s="223"/>
    </row>
    <row r="479">
      <c r="M479" s="127"/>
      <c r="U479" s="127"/>
      <c r="V479" s="223"/>
    </row>
    <row r="480">
      <c r="M480" s="127"/>
      <c r="U480" s="127"/>
      <c r="V480" s="223"/>
    </row>
    <row r="481">
      <c r="M481" s="127"/>
      <c r="U481" s="127"/>
      <c r="V481" s="223"/>
    </row>
    <row r="482">
      <c r="M482" s="127"/>
      <c r="U482" s="127"/>
      <c r="V482" s="223"/>
    </row>
    <row r="483">
      <c r="M483" s="127"/>
      <c r="U483" s="127"/>
      <c r="V483" s="223"/>
    </row>
    <row r="484">
      <c r="M484" s="127"/>
      <c r="U484" s="127"/>
      <c r="V484" s="223"/>
    </row>
    <row r="485">
      <c r="M485" s="127"/>
      <c r="U485" s="127"/>
      <c r="V485" s="223"/>
    </row>
    <row r="486">
      <c r="M486" s="127"/>
      <c r="U486" s="127"/>
      <c r="V486" s="223"/>
    </row>
    <row r="487">
      <c r="M487" s="127"/>
      <c r="U487" s="127"/>
      <c r="V487" s="223"/>
    </row>
    <row r="488">
      <c r="M488" s="127"/>
      <c r="U488" s="127"/>
      <c r="V488" s="223"/>
    </row>
    <row r="489">
      <c r="M489" s="127"/>
      <c r="U489" s="127"/>
      <c r="V489" s="223"/>
    </row>
    <row r="490">
      <c r="M490" s="127"/>
      <c r="U490" s="127"/>
      <c r="V490" s="223"/>
    </row>
    <row r="491">
      <c r="M491" s="127"/>
      <c r="U491" s="127"/>
      <c r="V491" s="223"/>
    </row>
    <row r="492">
      <c r="M492" s="127"/>
      <c r="U492" s="127"/>
      <c r="V492" s="223"/>
    </row>
    <row r="493">
      <c r="M493" s="127"/>
      <c r="U493" s="127"/>
      <c r="V493" s="223"/>
    </row>
    <row r="494">
      <c r="M494" s="127"/>
      <c r="U494" s="127"/>
      <c r="V494" s="223"/>
    </row>
    <row r="495">
      <c r="M495" s="127"/>
      <c r="U495" s="127"/>
      <c r="V495" s="223"/>
    </row>
    <row r="496">
      <c r="M496" s="127"/>
      <c r="U496" s="127"/>
      <c r="V496" s="223"/>
    </row>
    <row r="497">
      <c r="M497" s="127"/>
      <c r="U497" s="127"/>
      <c r="V497" s="223"/>
    </row>
    <row r="498">
      <c r="M498" s="127"/>
      <c r="U498" s="127"/>
      <c r="V498" s="223"/>
    </row>
    <row r="499">
      <c r="M499" s="127"/>
      <c r="U499" s="127"/>
      <c r="V499" s="223"/>
    </row>
    <row r="500">
      <c r="M500" s="127"/>
      <c r="U500" s="127"/>
      <c r="V500" s="223"/>
    </row>
    <row r="501">
      <c r="M501" s="127"/>
      <c r="U501" s="127"/>
      <c r="V501" s="223"/>
    </row>
    <row r="502">
      <c r="M502" s="127"/>
      <c r="U502" s="127"/>
      <c r="V502" s="223"/>
    </row>
    <row r="503">
      <c r="M503" s="127"/>
      <c r="U503" s="127"/>
      <c r="V503" s="223"/>
    </row>
    <row r="504">
      <c r="M504" s="127"/>
      <c r="U504" s="127"/>
      <c r="V504" s="223"/>
    </row>
    <row r="505">
      <c r="M505" s="127"/>
      <c r="U505" s="127"/>
      <c r="V505" s="223"/>
    </row>
    <row r="506">
      <c r="M506" s="127"/>
      <c r="U506" s="127"/>
      <c r="V506" s="223"/>
    </row>
    <row r="507">
      <c r="M507" s="127"/>
      <c r="U507" s="127"/>
      <c r="V507" s="223"/>
    </row>
    <row r="508">
      <c r="M508" s="127"/>
      <c r="U508" s="127"/>
      <c r="V508" s="223"/>
    </row>
    <row r="509">
      <c r="M509" s="127"/>
      <c r="U509" s="127"/>
      <c r="V509" s="223"/>
    </row>
    <row r="510">
      <c r="M510" s="127"/>
      <c r="U510" s="127"/>
      <c r="V510" s="223"/>
    </row>
    <row r="511">
      <c r="M511" s="127"/>
      <c r="U511" s="127"/>
      <c r="V511" s="223"/>
    </row>
    <row r="512">
      <c r="M512" s="127"/>
      <c r="U512" s="127"/>
      <c r="V512" s="223"/>
    </row>
    <row r="513">
      <c r="M513" s="127"/>
      <c r="U513" s="127"/>
      <c r="V513" s="223"/>
    </row>
    <row r="514">
      <c r="M514" s="127"/>
      <c r="U514" s="127"/>
      <c r="V514" s="223"/>
    </row>
    <row r="515">
      <c r="M515" s="127"/>
      <c r="U515" s="127"/>
      <c r="V515" s="223"/>
    </row>
    <row r="516">
      <c r="M516" s="127"/>
      <c r="U516" s="127"/>
      <c r="V516" s="223"/>
    </row>
    <row r="517">
      <c r="M517" s="127"/>
      <c r="U517" s="127"/>
      <c r="V517" s="223"/>
    </row>
    <row r="518">
      <c r="M518" s="127"/>
      <c r="U518" s="127"/>
      <c r="V518" s="223"/>
    </row>
    <row r="519">
      <c r="M519" s="127"/>
      <c r="U519" s="127"/>
      <c r="V519" s="223"/>
    </row>
    <row r="520">
      <c r="M520" s="127"/>
      <c r="U520" s="127"/>
      <c r="V520" s="223"/>
    </row>
    <row r="521">
      <c r="M521" s="127"/>
      <c r="U521" s="127"/>
      <c r="V521" s="223"/>
    </row>
    <row r="522">
      <c r="M522" s="127"/>
      <c r="U522" s="127"/>
      <c r="V522" s="223"/>
    </row>
    <row r="523">
      <c r="M523" s="127"/>
      <c r="U523" s="127"/>
      <c r="V523" s="223"/>
    </row>
    <row r="524">
      <c r="M524" s="127"/>
      <c r="U524" s="127"/>
      <c r="V524" s="223"/>
    </row>
    <row r="525">
      <c r="M525" s="127"/>
      <c r="U525" s="127"/>
      <c r="V525" s="223"/>
    </row>
    <row r="526">
      <c r="M526" s="127"/>
      <c r="U526" s="127"/>
      <c r="V526" s="223"/>
    </row>
    <row r="527">
      <c r="M527" s="127"/>
      <c r="U527" s="127"/>
      <c r="V527" s="223"/>
    </row>
    <row r="528">
      <c r="M528" s="127"/>
      <c r="U528" s="127"/>
      <c r="V528" s="223"/>
    </row>
    <row r="529">
      <c r="M529" s="127"/>
      <c r="U529" s="127"/>
      <c r="V529" s="223"/>
    </row>
    <row r="530">
      <c r="M530" s="127"/>
      <c r="U530" s="127"/>
      <c r="V530" s="223"/>
    </row>
    <row r="531">
      <c r="M531" s="127"/>
      <c r="U531" s="127"/>
      <c r="V531" s="223"/>
    </row>
    <row r="532">
      <c r="M532" s="127"/>
      <c r="U532" s="127"/>
      <c r="V532" s="223"/>
    </row>
    <row r="533">
      <c r="M533" s="127"/>
      <c r="U533" s="127"/>
      <c r="V533" s="223"/>
    </row>
    <row r="534">
      <c r="M534" s="127"/>
      <c r="U534" s="127"/>
      <c r="V534" s="223"/>
    </row>
    <row r="535">
      <c r="M535" s="127"/>
      <c r="U535" s="127"/>
      <c r="V535" s="223"/>
    </row>
    <row r="536">
      <c r="M536" s="127"/>
      <c r="U536" s="127"/>
      <c r="V536" s="223"/>
    </row>
    <row r="537">
      <c r="M537" s="127"/>
      <c r="U537" s="127"/>
      <c r="V537" s="223"/>
    </row>
    <row r="538">
      <c r="M538" s="127"/>
      <c r="U538" s="127"/>
      <c r="V538" s="223"/>
    </row>
    <row r="539">
      <c r="M539" s="127"/>
      <c r="U539" s="127"/>
      <c r="V539" s="223"/>
    </row>
    <row r="540">
      <c r="M540" s="127"/>
      <c r="U540" s="127"/>
      <c r="V540" s="223"/>
    </row>
    <row r="541">
      <c r="M541" s="127"/>
      <c r="U541" s="127"/>
      <c r="V541" s="223"/>
    </row>
    <row r="542">
      <c r="M542" s="127"/>
      <c r="U542" s="127"/>
      <c r="V542" s="223"/>
    </row>
    <row r="543">
      <c r="M543" s="127"/>
      <c r="U543" s="127"/>
      <c r="V543" s="223"/>
    </row>
    <row r="544">
      <c r="M544" s="127"/>
      <c r="U544" s="127"/>
      <c r="V544" s="223"/>
    </row>
    <row r="545">
      <c r="M545" s="127"/>
      <c r="U545" s="127"/>
      <c r="V545" s="223"/>
    </row>
    <row r="546">
      <c r="M546" s="127"/>
      <c r="U546" s="127"/>
      <c r="V546" s="223"/>
    </row>
    <row r="547">
      <c r="M547" s="127"/>
      <c r="U547" s="127"/>
      <c r="V547" s="223"/>
    </row>
    <row r="548">
      <c r="M548" s="127"/>
      <c r="U548" s="127"/>
      <c r="V548" s="223"/>
    </row>
    <row r="549">
      <c r="M549" s="127"/>
      <c r="U549" s="127"/>
      <c r="V549" s="223"/>
    </row>
    <row r="550">
      <c r="M550" s="127"/>
      <c r="U550" s="127"/>
      <c r="V550" s="223"/>
    </row>
    <row r="551">
      <c r="M551" s="127"/>
      <c r="U551" s="127"/>
      <c r="V551" s="223"/>
    </row>
    <row r="552">
      <c r="M552" s="127"/>
      <c r="U552" s="127"/>
      <c r="V552" s="223"/>
    </row>
    <row r="553">
      <c r="M553" s="127"/>
      <c r="U553" s="127"/>
      <c r="V553" s="223"/>
    </row>
    <row r="554">
      <c r="M554" s="127"/>
      <c r="U554" s="127"/>
      <c r="V554" s="223"/>
    </row>
    <row r="555">
      <c r="M555" s="127"/>
      <c r="U555" s="127"/>
      <c r="V555" s="223"/>
    </row>
    <row r="556">
      <c r="M556" s="127"/>
      <c r="U556" s="127"/>
      <c r="V556" s="223"/>
    </row>
    <row r="557">
      <c r="M557" s="127"/>
      <c r="U557" s="127"/>
      <c r="V557" s="223"/>
    </row>
    <row r="558">
      <c r="M558" s="127"/>
      <c r="U558" s="127"/>
      <c r="V558" s="223"/>
    </row>
    <row r="559">
      <c r="M559" s="127"/>
      <c r="U559" s="127"/>
      <c r="V559" s="223"/>
    </row>
    <row r="560">
      <c r="M560" s="127"/>
      <c r="U560" s="127"/>
      <c r="V560" s="223"/>
    </row>
    <row r="561">
      <c r="M561" s="127"/>
      <c r="U561" s="127"/>
      <c r="V561" s="223"/>
    </row>
    <row r="562">
      <c r="M562" s="127"/>
      <c r="U562" s="127"/>
      <c r="V562" s="223"/>
    </row>
    <row r="563">
      <c r="M563" s="127"/>
      <c r="U563" s="127"/>
      <c r="V563" s="223"/>
    </row>
    <row r="564">
      <c r="M564" s="127"/>
      <c r="U564" s="127"/>
      <c r="V564" s="223"/>
    </row>
    <row r="565">
      <c r="M565" s="127"/>
      <c r="U565" s="127"/>
      <c r="V565" s="223"/>
    </row>
    <row r="566">
      <c r="M566" s="127"/>
      <c r="U566" s="127"/>
      <c r="V566" s="223"/>
    </row>
    <row r="567">
      <c r="M567" s="127"/>
      <c r="U567" s="127"/>
      <c r="V567" s="223"/>
    </row>
    <row r="568">
      <c r="M568" s="127"/>
      <c r="U568" s="127"/>
      <c r="V568" s="223"/>
    </row>
    <row r="569">
      <c r="M569" s="127"/>
      <c r="U569" s="127"/>
      <c r="V569" s="223"/>
    </row>
    <row r="570">
      <c r="M570" s="127"/>
      <c r="U570" s="127"/>
      <c r="V570" s="223"/>
    </row>
    <row r="571">
      <c r="M571" s="127"/>
      <c r="U571" s="127"/>
      <c r="V571" s="223"/>
    </row>
    <row r="572">
      <c r="M572" s="127"/>
      <c r="U572" s="127"/>
      <c r="V572" s="223"/>
    </row>
    <row r="573">
      <c r="M573" s="127"/>
      <c r="U573" s="127"/>
      <c r="V573" s="223"/>
    </row>
    <row r="574">
      <c r="M574" s="127"/>
      <c r="U574" s="127"/>
      <c r="V574" s="223"/>
    </row>
    <row r="575">
      <c r="M575" s="127"/>
      <c r="U575" s="127"/>
      <c r="V575" s="223"/>
    </row>
    <row r="576">
      <c r="M576" s="127"/>
      <c r="U576" s="127"/>
      <c r="V576" s="223"/>
    </row>
    <row r="577">
      <c r="M577" s="127"/>
      <c r="U577" s="127"/>
      <c r="V577" s="223"/>
    </row>
    <row r="578">
      <c r="M578" s="127"/>
      <c r="U578" s="127"/>
      <c r="V578" s="223"/>
    </row>
    <row r="579">
      <c r="M579" s="127"/>
      <c r="U579" s="127"/>
      <c r="V579" s="223"/>
    </row>
    <row r="580">
      <c r="M580" s="127"/>
      <c r="U580" s="127"/>
      <c r="V580" s="223"/>
    </row>
    <row r="581">
      <c r="M581" s="127"/>
      <c r="U581" s="127"/>
      <c r="V581" s="223"/>
    </row>
    <row r="582">
      <c r="M582" s="127"/>
      <c r="U582" s="127"/>
      <c r="V582" s="223"/>
    </row>
    <row r="583">
      <c r="M583" s="127"/>
      <c r="U583" s="127"/>
      <c r="V583" s="223"/>
    </row>
    <row r="584">
      <c r="M584" s="127"/>
      <c r="U584" s="127"/>
      <c r="V584" s="223"/>
    </row>
    <row r="585">
      <c r="M585" s="127"/>
      <c r="U585" s="127"/>
      <c r="V585" s="223"/>
    </row>
    <row r="586">
      <c r="M586" s="127"/>
      <c r="U586" s="127"/>
      <c r="V586" s="223"/>
    </row>
    <row r="587">
      <c r="M587" s="127"/>
      <c r="U587" s="127"/>
      <c r="V587" s="223"/>
    </row>
    <row r="588">
      <c r="M588" s="127"/>
      <c r="U588" s="127"/>
      <c r="V588" s="223"/>
    </row>
    <row r="589">
      <c r="M589" s="127"/>
      <c r="U589" s="127"/>
      <c r="V589" s="223"/>
    </row>
    <row r="590">
      <c r="M590" s="127"/>
      <c r="U590" s="127"/>
      <c r="V590" s="223"/>
    </row>
    <row r="591">
      <c r="M591" s="127"/>
      <c r="U591" s="127"/>
      <c r="V591" s="223"/>
    </row>
    <row r="592">
      <c r="M592" s="127"/>
      <c r="U592" s="127"/>
      <c r="V592" s="223"/>
    </row>
    <row r="593">
      <c r="M593" s="127"/>
      <c r="U593" s="127"/>
      <c r="V593" s="223"/>
    </row>
    <row r="594">
      <c r="M594" s="127"/>
      <c r="U594" s="127"/>
      <c r="V594" s="223"/>
    </row>
    <row r="595">
      <c r="M595" s="127"/>
      <c r="U595" s="127"/>
      <c r="V595" s="223"/>
    </row>
    <row r="596">
      <c r="M596" s="127"/>
      <c r="U596" s="127"/>
      <c r="V596" s="223"/>
    </row>
    <row r="597">
      <c r="M597" s="127"/>
      <c r="U597" s="127"/>
      <c r="V597" s="223"/>
    </row>
    <row r="598">
      <c r="M598" s="127"/>
      <c r="U598" s="127"/>
      <c r="V598" s="223"/>
    </row>
    <row r="599">
      <c r="M599" s="127"/>
      <c r="U599" s="127"/>
      <c r="V599" s="223"/>
    </row>
    <row r="600">
      <c r="M600" s="127"/>
      <c r="U600" s="127"/>
      <c r="V600" s="223"/>
    </row>
    <row r="601">
      <c r="M601" s="127"/>
      <c r="U601" s="127"/>
      <c r="V601" s="223"/>
    </row>
    <row r="602">
      <c r="M602" s="127"/>
      <c r="U602" s="127"/>
      <c r="V602" s="223"/>
    </row>
    <row r="603">
      <c r="M603" s="127"/>
      <c r="U603" s="127"/>
      <c r="V603" s="223"/>
    </row>
    <row r="604">
      <c r="M604" s="127"/>
      <c r="U604" s="127"/>
      <c r="V604" s="223"/>
    </row>
    <row r="605">
      <c r="M605" s="127"/>
      <c r="U605" s="127"/>
      <c r="V605" s="223"/>
    </row>
    <row r="606">
      <c r="M606" s="127"/>
      <c r="U606" s="127"/>
      <c r="V606" s="223"/>
    </row>
    <row r="607">
      <c r="M607" s="127"/>
      <c r="U607" s="127"/>
      <c r="V607" s="223"/>
    </row>
    <row r="608">
      <c r="M608" s="127"/>
      <c r="U608" s="127"/>
      <c r="V608" s="223"/>
    </row>
    <row r="609">
      <c r="M609" s="127"/>
      <c r="U609" s="127"/>
      <c r="V609" s="223"/>
    </row>
    <row r="610">
      <c r="M610" s="127"/>
      <c r="U610" s="127"/>
      <c r="V610" s="223"/>
    </row>
    <row r="611">
      <c r="M611" s="127"/>
      <c r="U611" s="127"/>
      <c r="V611" s="223"/>
    </row>
    <row r="612">
      <c r="M612" s="127"/>
      <c r="U612" s="127"/>
      <c r="V612" s="223"/>
    </row>
    <row r="613">
      <c r="M613" s="127"/>
      <c r="U613" s="127"/>
      <c r="V613" s="223"/>
    </row>
    <row r="614">
      <c r="M614" s="127"/>
      <c r="U614" s="127"/>
      <c r="V614" s="223"/>
    </row>
    <row r="615">
      <c r="M615" s="127"/>
      <c r="U615" s="127"/>
      <c r="V615" s="223"/>
    </row>
    <row r="616">
      <c r="M616" s="127"/>
      <c r="U616" s="127"/>
      <c r="V616" s="223"/>
    </row>
    <row r="617">
      <c r="M617" s="127"/>
      <c r="U617" s="127"/>
      <c r="V617" s="223"/>
    </row>
    <row r="618">
      <c r="M618" s="127"/>
      <c r="U618" s="127"/>
      <c r="V618" s="223"/>
    </row>
    <row r="619">
      <c r="M619" s="127"/>
      <c r="U619" s="127"/>
      <c r="V619" s="223"/>
    </row>
    <row r="620">
      <c r="M620" s="127"/>
      <c r="U620" s="127"/>
      <c r="V620" s="223"/>
    </row>
    <row r="621">
      <c r="M621" s="127"/>
      <c r="U621" s="127"/>
      <c r="V621" s="223"/>
    </row>
    <row r="622">
      <c r="M622" s="127"/>
      <c r="U622" s="127"/>
      <c r="V622" s="223"/>
    </row>
    <row r="623">
      <c r="M623" s="127"/>
      <c r="U623" s="127"/>
      <c r="V623" s="223"/>
    </row>
    <row r="624">
      <c r="M624" s="127"/>
      <c r="U624" s="127"/>
      <c r="V624" s="223"/>
    </row>
    <row r="625">
      <c r="M625" s="127"/>
      <c r="U625" s="127"/>
      <c r="V625" s="223"/>
    </row>
    <row r="626">
      <c r="M626" s="127"/>
      <c r="U626" s="127"/>
      <c r="V626" s="223"/>
    </row>
    <row r="627">
      <c r="M627" s="127"/>
      <c r="U627" s="127"/>
      <c r="V627" s="223"/>
    </row>
    <row r="628">
      <c r="M628" s="127"/>
      <c r="U628" s="127"/>
      <c r="V628" s="223"/>
    </row>
    <row r="629">
      <c r="M629" s="127"/>
      <c r="U629" s="127"/>
      <c r="V629" s="223"/>
    </row>
    <row r="630">
      <c r="M630" s="127"/>
      <c r="U630" s="127"/>
      <c r="V630" s="223"/>
    </row>
    <row r="631">
      <c r="M631" s="127"/>
      <c r="U631" s="127"/>
      <c r="V631" s="223"/>
    </row>
    <row r="632">
      <c r="M632" s="127"/>
      <c r="U632" s="127"/>
      <c r="V632" s="223"/>
    </row>
    <row r="633">
      <c r="M633" s="127"/>
      <c r="U633" s="127"/>
      <c r="V633" s="223"/>
    </row>
    <row r="634">
      <c r="M634" s="127"/>
      <c r="U634" s="127"/>
      <c r="V634" s="223"/>
    </row>
    <row r="635">
      <c r="M635" s="127"/>
      <c r="U635" s="127"/>
      <c r="V635" s="223"/>
    </row>
    <row r="636">
      <c r="M636" s="127"/>
      <c r="U636" s="127"/>
      <c r="V636" s="223"/>
    </row>
    <row r="637">
      <c r="M637" s="127"/>
      <c r="U637" s="127"/>
      <c r="V637" s="223"/>
    </row>
    <row r="638">
      <c r="M638" s="127"/>
      <c r="U638" s="127"/>
      <c r="V638" s="223"/>
    </row>
    <row r="639">
      <c r="M639" s="127"/>
      <c r="U639" s="127"/>
      <c r="V639" s="223"/>
    </row>
    <row r="640">
      <c r="M640" s="127"/>
      <c r="U640" s="127"/>
      <c r="V640" s="223"/>
    </row>
    <row r="641">
      <c r="M641" s="127"/>
      <c r="U641" s="127"/>
      <c r="V641" s="223"/>
    </row>
    <row r="642">
      <c r="M642" s="127"/>
      <c r="U642" s="127"/>
      <c r="V642" s="223"/>
    </row>
    <row r="643">
      <c r="M643" s="127"/>
      <c r="U643" s="127"/>
      <c r="V643" s="223"/>
    </row>
    <row r="644">
      <c r="M644" s="127"/>
      <c r="U644" s="127"/>
      <c r="V644" s="223"/>
    </row>
    <row r="645">
      <c r="M645" s="127"/>
      <c r="U645" s="127"/>
      <c r="V645" s="223"/>
    </row>
    <row r="646">
      <c r="M646" s="127"/>
      <c r="U646" s="127"/>
      <c r="V646" s="223"/>
    </row>
    <row r="647">
      <c r="M647" s="127"/>
      <c r="U647" s="127"/>
      <c r="V647" s="223"/>
    </row>
    <row r="648">
      <c r="M648" s="127"/>
      <c r="U648" s="127"/>
      <c r="V648" s="223"/>
    </row>
    <row r="649">
      <c r="M649" s="127"/>
      <c r="U649" s="127"/>
      <c r="V649" s="223"/>
    </row>
    <row r="650">
      <c r="M650" s="127"/>
      <c r="U650" s="127"/>
      <c r="V650" s="223"/>
    </row>
    <row r="651">
      <c r="M651" s="127"/>
      <c r="U651" s="127"/>
      <c r="V651" s="223"/>
    </row>
    <row r="652">
      <c r="M652" s="127"/>
      <c r="U652" s="127"/>
      <c r="V652" s="223"/>
    </row>
    <row r="653">
      <c r="M653" s="127"/>
      <c r="U653" s="127"/>
      <c r="V653" s="223"/>
    </row>
    <row r="654">
      <c r="M654" s="127"/>
      <c r="U654" s="127"/>
      <c r="V654" s="223"/>
    </row>
    <row r="655">
      <c r="M655" s="127"/>
      <c r="U655" s="127"/>
      <c r="V655" s="223"/>
    </row>
    <row r="656">
      <c r="M656" s="127"/>
      <c r="U656" s="127"/>
      <c r="V656" s="223"/>
    </row>
    <row r="657">
      <c r="M657" s="127"/>
      <c r="U657" s="127"/>
      <c r="V657" s="223"/>
    </row>
    <row r="658">
      <c r="M658" s="127"/>
      <c r="U658" s="127"/>
      <c r="V658" s="223"/>
    </row>
    <row r="659">
      <c r="M659" s="127"/>
      <c r="U659" s="127"/>
      <c r="V659" s="223"/>
    </row>
    <row r="660">
      <c r="M660" s="127"/>
      <c r="U660" s="127"/>
      <c r="V660" s="223"/>
    </row>
    <row r="661">
      <c r="M661" s="127"/>
      <c r="U661" s="127"/>
      <c r="V661" s="223"/>
    </row>
    <row r="662">
      <c r="M662" s="127"/>
      <c r="U662" s="127"/>
      <c r="V662" s="223"/>
    </row>
    <row r="663">
      <c r="M663" s="127"/>
      <c r="U663" s="127"/>
      <c r="V663" s="223"/>
    </row>
    <row r="664">
      <c r="M664" s="127"/>
      <c r="U664" s="127"/>
      <c r="V664" s="223"/>
    </row>
    <row r="665">
      <c r="M665" s="127"/>
      <c r="U665" s="127"/>
      <c r="V665" s="223"/>
    </row>
    <row r="666">
      <c r="M666" s="127"/>
      <c r="U666" s="127"/>
      <c r="V666" s="223"/>
    </row>
    <row r="667">
      <c r="M667" s="127"/>
      <c r="U667" s="127"/>
      <c r="V667" s="223"/>
    </row>
    <row r="668">
      <c r="M668" s="127"/>
      <c r="U668" s="127"/>
      <c r="V668" s="223"/>
    </row>
    <row r="669">
      <c r="M669" s="127"/>
      <c r="U669" s="127"/>
      <c r="V669" s="223"/>
    </row>
    <row r="670">
      <c r="M670" s="127"/>
      <c r="U670" s="127"/>
      <c r="V670" s="223"/>
    </row>
    <row r="671">
      <c r="M671" s="127"/>
      <c r="U671" s="127"/>
      <c r="V671" s="223"/>
    </row>
    <row r="672">
      <c r="M672" s="127"/>
      <c r="U672" s="127"/>
      <c r="V672" s="223"/>
    </row>
    <row r="673">
      <c r="M673" s="127"/>
      <c r="U673" s="127"/>
      <c r="V673" s="223"/>
    </row>
    <row r="674">
      <c r="M674" s="127"/>
      <c r="U674" s="127"/>
      <c r="V674" s="223"/>
    </row>
    <row r="675">
      <c r="M675" s="127"/>
      <c r="U675" s="127"/>
      <c r="V675" s="223"/>
    </row>
    <row r="676">
      <c r="M676" s="127"/>
      <c r="U676" s="127"/>
      <c r="V676" s="223"/>
    </row>
    <row r="677">
      <c r="M677" s="127"/>
      <c r="U677" s="127"/>
      <c r="V677" s="223"/>
    </row>
    <row r="678">
      <c r="M678" s="127"/>
      <c r="U678" s="127"/>
      <c r="V678" s="223"/>
    </row>
    <row r="679">
      <c r="M679" s="127"/>
      <c r="U679" s="127"/>
      <c r="V679" s="223"/>
    </row>
    <row r="680">
      <c r="M680" s="127"/>
      <c r="U680" s="127"/>
      <c r="V680" s="223"/>
    </row>
    <row r="681">
      <c r="M681" s="127"/>
      <c r="U681" s="127"/>
      <c r="V681" s="223"/>
    </row>
    <row r="682">
      <c r="M682" s="127"/>
      <c r="U682" s="127"/>
      <c r="V682" s="223"/>
    </row>
    <row r="683">
      <c r="M683" s="127"/>
      <c r="U683" s="127"/>
      <c r="V683" s="223"/>
    </row>
    <row r="684">
      <c r="M684" s="127"/>
      <c r="U684" s="127"/>
      <c r="V684" s="223"/>
    </row>
    <row r="685">
      <c r="M685" s="127"/>
      <c r="U685" s="127"/>
      <c r="V685" s="223"/>
    </row>
    <row r="686">
      <c r="M686" s="127"/>
      <c r="U686" s="127"/>
      <c r="V686" s="223"/>
    </row>
    <row r="687">
      <c r="M687" s="127"/>
      <c r="U687" s="127"/>
      <c r="V687" s="223"/>
    </row>
    <row r="688">
      <c r="M688" s="127"/>
      <c r="U688" s="127"/>
      <c r="V688" s="223"/>
    </row>
    <row r="689">
      <c r="M689" s="127"/>
      <c r="U689" s="127"/>
      <c r="V689" s="223"/>
    </row>
    <row r="690">
      <c r="M690" s="127"/>
      <c r="U690" s="127"/>
      <c r="V690" s="223"/>
    </row>
    <row r="691">
      <c r="M691" s="127"/>
      <c r="U691" s="127"/>
      <c r="V691" s="223"/>
    </row>
    <row r="692">
      <c r="M692" s="127"/>
      <c r="U692" s="127"/>
      <c r="V692" s="223"/>
    </row>
    <row r="693">
      <c r="M693" s="127"/>
      <c r="U693" s="127"/>
      <c r="V693" s="223"/>
    </row>
    <row r="694">
      <c r="M694" s="127"/>
      <c r="U694" s="127"/>
      <c r="V694" s="223"/>
    </row>
    <row r="695">
      <c r="M695" s="127"/>
      <c r="U695" s="127"/>
      <c r="V695" s="223"/>
    </row>
    <row r="696">
      <c r="M696" s="127"/>
      <c r="U696" s="127"/>
      <c r="V696" s="223"/>
    </row>
    <row r="697">
      <c r="M697" s="127"/>
      <c r="U697" s="127"/>
      <c r="V697" s="223"/>
    </row>
    <row r="698">
      <c r="M698" s="127"/>
      <c r="U698" s="127"/>
      <c r="V698" s="223"/>
    </row>
    <row r="699">
      <c r="M699" s="127"/>
      <c r="U699" s="127"/>
      <c r="V699" s="223"/>
    </row>
    <row r="700">
      <c r="M700" s="127"/>
      <c r="U700" s="127"/>
      <c r="V700" s="223"/>
    </row>
    <row r="701">
      <c r="M701" s="127"/>
      <c r="U701" s="127"/>
      <c r="V701" s="223"/>
    </row>
    <row r="702">
      <c r="M702" s="127"/>
      <c r="U702" s="127"/>
      <c r="V702" s="223"/>
    </row>
    <row r="703">
      <c r="M703" s="127"/>
      <c r="U703" s="127"/>
      <c r="V703" s="223"/>
    </row>
    <row r="704">
      <c r="M704" s="127"/>
      <c r="U704" s="127"/>
      <c r="V704" s="223"/>
    </row>
    <row r="705">
      <c r="M705" s="127"/>
      <c r="U705" s="127"/>
      <c r="V705" s="223"/>
    </row>
    <row r="706">
      <c r="M706" s="127"/>
      <c r="U706" s="127"/>
      <c r="V706" s="223"/>
    </row>
    <row r="707">
      <c r="M707" s="127"/>
      <c r="U707" s="127"/>
      <c r="V707" s="223"/>
    </row>
    <row r="708">
      <c r="M708" s="127"/>
      <c r="U708" s="127"/>
      <c r="V708" s="223"/>
    </row>
    <row r="709">
      <c r="M709" s="127"/>
      <c r="U709" s="127"/>
      <c r="V709" s="223"/>
    </row>
    <row r="710">
      <c r="M710" s="127"/>
      <c r="U710" s="127"/>
      <c r="V710" s="223"/>
    </row>
    <row r="711">
      <c r="M711" s="127"/>
      <c r="U711" s="127"/>
      <c r="V711" s="223"/>
    </row>
    <row r="712">
      <c r="M712" s="127"/>
      <c r="U712" s="127"/>
      <c r="V712" s="223"/>
    </row>
    <row r="713">
      <c r="M713" s="127"/>
      <c r="U713" s="127"/>
      <c r="V713" s="223"/>
    </row>
    <row r="714">
      <c r="M714" s="127"/>
      <c r="U714" s="127"/>
      <c r="V714" s="223"/>
    </row>
    <row r="715">
      <c r="M715" s="127"/>
      <c r="U715" s="127"/>
      <c r="V715" s="223"/>
    </row>
    <row r="716">
      <c r="M716" s="127"/>
      <c r="U716" s="127"/>
      <c r="V716" s="223"/>
    </row>
    <row r="717">
      <c r="M717" s="127"/>
      <c r="U717" s="127"/>
      <c r="V717" s="223"/>
    </row>
    <row r="718">
      <c r="M718" s="127"/>
      <c r="U718" s="127"/>
      <c r="V718" s="223"/>
    </row>
    <row r="719">
      <c r="M719" s="127"/>
      <c r="U719" s="127"/>
      <c r="V719" s="223"/>
    </row>
    <row r="720">
      <c r="M720" s="127"/>
      <c r="U720" s="127"/>
      <c r="V720" s="223"/>
    </row>
    <row r="721">
      <c r="M721" s="127"/>
      <c r="U721" s="127"/>
      <c r="V721" s="223"/>
    </row>
    <row r="722">
      <c r="M722" s="127"/>
      <c r="U722" s="127"/>
      <c r="V722" s="223"/>
    </row>
    <row r="723">
      <c r="M723" s="127"/>
      <c r="U723" s="127"/>
      <c r="V723" s="223"/>
    </row>
    <row r="724">
      <c r="M724" s="127"/>
      <c r="U724" s="127"/>
      <c r="V724" s="223"/>
    </row>
    <row r="725">
      <c r="M725" s="127"/>
      <c r="U725" s="127"/>
      <c r="V725" s="223"/>
    </row>
    <row r="726">
      <c r="M726" s="127"/>
      <c r="U726" s="127"/>
      <c r="V726" s="223"/>
    </row>
    <row r="727">
      <c r="M727" s="127"/>
      <c r="U727" s="127"/>
      <c r="V727" s="223"/>
    </row>
    <row r="728">
      <c r="M728" s="127"/>
      <c r="U728" s="127"/>
      <c r="V728" s="223"/>
    </row>
    <row r="729">
      <c r="M729" s="127"/>
      <c r="U729" s="127"/>
      <c r="V729" s="223"/>
    </row>
    <row r="730">
      <c r="M730" s="127"/>
      <c r="U730" s="127"/>
      <c r="V730" s="223"/>
    </row>
    <row r="731">
      <c r="M731" s="127"/>
      <c r="U731" s="127"/>
      <c r="V731" s="223"/>
    </row>
    <row r="732">
      <c r="M732" s="127"/>
      <c r="U732" s="127"/>
      <c r="V732" s="223"/>
    </row>
    <row r="733">
      <c r="M733" s="127"/>
      <c r="U733" s="127"/>
      <c r="V733" s="223"/>
    </row>
    <row r="734">
      <c r="M734" s="127"/>
      <c r="U734" s="127"/>
      <c r="V734" s="223"/>
    </row>
    <row r="735">
      <c r="M735" s="127"/>
      <c r="U735" s="127"/>
      <c r="V735" s="223"/>
    </row>
    <row r="736">
      <c r="M736" s="127"/>
      <c r="U736" s="127"/>
      <c r="V736" s="223"/>
    </row>
    <row r="737">
      <c r="M737" s="127"/>
      <c r="U737" s="127"/>
      <c r="V737" s="223"/>
    </row>
    <row r="738">
      <c r="M738" s="127"/>
      <c r="U738" s="127"/>
      <c r="V738" s="223"/>
    </row>
    <row r="739">
      <c r="M739" s="127"/>
      <c r="U739" s="127"/>
      <c r="V739" s="223"/>
    </row>
    <row r="740">
      <c r="M740" s="127"/>
      <c r="U740" s="127"/>
      <c r="V740" s="223"/>
    </row>
    <row r="741">
      <c r="M741" s="127"/>
      <c r="U741" s="127"/>
      <c r="V741" s="223"/>
    </row>
    <row r="742">
      <c r="M742" s="127"/>
      <c r="U742" s="127"/>
      <c r="V742" s="223"/>
    </row>
    <row r="743">
      <c r="M743" s="127"/>
      <c r="U743" s="127"/>
      <c r="V743" s="223"/>
    </row>
    <row r="744">
      <c r="M744" s="127"/>
      <c r="U744" s="127"/>
      <c r="V744" s="223"/>
    </row>
    <row r="745">
      <c r="M745" s="127"/>
      <c r="U745" s="127"/>
      <c r="V745" s="223"/>
    </row>
    <row r="746">
      <c r="M746" s="127"/>
      <c r="U746" s="127"/>
      <c r="V746" s="223"/>
    </row>
    <row r="747">
      <c r="M747" s="127"/>
      <c r="U747" s="127"/>
      <c r="V747" s="223"/>
    </row>
    <row r="748">
      <c r="M748" s="127"/>
      <c r="U748" s="127"/>
      <c r="V748" s="223"/>
    </row>
    <row r="749">
      <c r="M749" s="127"/>
      <c r="U749" s="127"/>
      <c r="V749" s="223"/>
    </row>
    <row r="750">
      <c r="M750" s="127"/>
      <c r="U750" s="127"/>
      <c r="V750" s="223"/>
    </row>
    <row r="751">
      <c r="M751" s="127"/>
      <c r="U751" s="127"/>
      <c r="V751" s="223"/>
    </row>
    <row r="752">
      <c r="M752" s="127"/>
      <c r="U752" s="127"/>
      <c r="V752" s="223"/>
    </row>
    <row r="753">
      <c r="M753" s="127"/>
      <c r="U753" s="127"/>
      <c r="V753" s="223"/>
    </row>
    <row r="754">
      <c r="M754" s="127"/>
      <c r="U754" s="127"/>
      <c r="V754" s="223"/>
    </row>
    <row r="755">
      <c r="M755" s="127"/>
      <c r="U755" s="127"/>
      <c r="V755" s="223"/>
    </row>
    <row r="756">
      <c r="M756" s="127"/>
      <c r="U756" s="127"/>
      <c r="V756" s="223"/>
    </row>
    <row r="757">
      <c r="M757" s="127"/>
      <c r="U757" s="127"/>
      <c r="V757" s="223"/>
    </row>
    <row r="758">
      <c r="M758" s="127"/>
      <c r="U758" s="127"/>
      <c r="V758" s="223"/>
    </row>
    <row r="759">
      <c r="M759" s="127"/>
      <c r="U759" s="127"/>
      <c r="V759" s="223"/>
    </row>
    <row r="760">
      <c r="M760" s="127"/>
      <c r="U760" s="127"/>
      <c r="V760" s="223"/>
    </row>
    <row r="761">
      <c r="M761" s="127"/>
      <c r="U761" s="127"/>
      <c r="V761" s="223"/>
    </row>
    <row r="762">
      <c r="M762" s="127"/>
      <c r="U762" s="127"/>
      <c r="V762" s="223"/>
    </row>
    <row r="763">
      <c r="M763" s="127"/>
      <c r="U763" s="127"/>
      <c r="V763" s="223"/>
    </row>
    <row r="764">
      <c r="M764" s="127"/>
      <c r="U764" s="127"/>
      <c r="V764" s="223"/>
    </row>
    <row r="765">
      <c r="M765" s="127"/>
      <c r="U765" s="127"/>
      <c r="V765" s="223"/>
    </row>
    <row r="766">
      <c r="M766" s="127"/>
      <c r="U766" s="127"/>
      <c r="V766" s="223"/>
    </row>
    <row r="767">
      <c r="M767" s="127"/>
      <c r="U767" s="127"/>
      <c r="V767" s="223"/>
    </row>
    <row r="768">
      <c r="M768" s="127"/>
      <c r="U768" s="127"/>
      <c r="V768" s="223"/>
    </row>
    <row r="769">
      <c r="M769" s="127"/>
      <c r="U769" s="127"/>
      <c r="V769" s="223"/>
    </row>
    <row r="770">
      <c r="M770" s="127"/>
      <c r="U770" s="127"/>
      <c r="V770" s="223"/>
    </row>
    <row r="771">
      <c r="M771" s="127"/>
      <c r="U771" s="127"/>
      <c r="V771" s="223"/>
    </row>
    <row r="772">
      <c r="M772" s="127"/>
      <c r="U772" s="127"/>
      <c r="V772" s="223"/>
    </row>
    <row r="773">
      <c r="M773" s="127"/>
      <c r="U773" s="127"/>
      <c r="V773" s="223"/>
    </row>
    <row r="774">
      <c r="M774" s="127"/>
      <c r="U774" s="127"/>
      <c r="V774" s="223"/>
    </row>
    <row r="775">
      <c r="M775" s="127"/>
      <c r="U775" s="127"/>
      <c r="V775" s="223"/>
    </row>
    <row r="776">
      <c r="M776" s="127"/>
      <c r="U776" s="127"/>
      <c r="V776" s="223"/>
    </row>
    <row r="777">
      <c r="M777" s="127"/>
      <c r="U777" s="127"/>
      <c r="V777" s="223"/>
    </row>
    <row r="778">
      <c r="M778" s="127"/>
      <c r="U778" s="127"/>
      <c r="V778" s="223"/>
    </row>
    <row r="779">
      <c r="M779" s="127"/>
      <c r="U779" s="127"/>
      <c r="V779" s="223"/>
    </row>
    <row r="780">
      <c r="M780" s="127"/>
      <c r="U780" s="127"/>
      <c r="V780" s="223"/>
    </row>
    <row r="781">
      <c r="M781" s="127"/>
      <c r="U781" s="127"/>
      <c r="V781" s="223"/>
    </row>
    <row r="782">
      <c r="M782" s="127"/>
      <c r="U782" s="127"/>
      <c r="V782" s="223"/>
    </row>
    <row r="783">
      <c r="M783" s="127"/>
      <c r="U783" s="127"/>
      <c r="V783" s="223"/>
    </row>
    <row r="784">
      <c r="M784" s="127"/>
      <c r="U784" s="127"/>
      <c r="V784" s="223"/>
    </row>
    <row r="785">
      <c r="M785" s="127"/>
      <c r="U785" s="127"/>
      <c r="V785" s="223"/>
    </row>
    <row r="786">
      <c r="M786" s="127"/>
      <c r="U786" s="127"/>
      <c r="V786" s="223"/>
    </row>
    <row r="787">
      <c r="M787" s="127"/>
      <c r="U787" s="127"/>
      <c r="V787" s="223"/>
    </row>
    <row r="788">
      <c r="M788" s="127"/>
      <c r="U788" s="127"/>
      <c r="V788" s="223"/>
    </row>
    <row r="789">
      <c r="M789" s="127"/>
      <c r="U789" s="127"/>
      <c r="V789" s="223"/>
    </row>
    <row r="790">
      <c r="M790" s="127"/>
      <c r="U790" s="127"/>
      <c r="V790" s="223"/>
    </row>
    <row r="791">
      <c r="M791" s="127"/>
      <c r="U791" s="127"/>
      <c r="V791" s="223"/>
    </row>
    <row r="792">
      <c r="M792" s="127"/>
      <c r="U792" s="127"/>
      <c r="V792" s="223"/>
    </row>
    <row r="793">
      <c r="M793" s="127"/>
      <c r="U793" s="127"/>
      <c r="V793" s="223"/>
    </row>
    <row r="794">
      <c r="M794" s="127"/>
      <c r="U794" s="127"/>
      <c r="V794" s="223"/>
    </row>
    <row r="795">
      <c r="M795" s="127"/>
      <c r="U795" s="127"/>
      <c r="V795" s="223"/>
    </row>
    <row r="796">
      <c r="M796" s="127"/>
      <c r="U796" s="127"/>
      <c r="V796" s="223"/>
    </row>
    <row r="797">
      <c r="M797" s="127"/>
      <c r="U797" s="127"/>
      <c r="V797" s="223"/>
    </row>
    <row r="798">
      <c r="M798" s="127"/>
      <c r="U798" s="127"/>
      <c r="V798" s="223"/>
    </row>
    <row r="799">
      <c r="M799" s="127"/>
      <c r="U799" s="127"/>
      <c r="V799" s="223"/>
    </row>
    <row r="800">
      <c r="M800" s="127"/>
      <c r="U800" s="127"/>
      <c r="V800" s="223"/>
    </row>
    <row r="801">
      <c r="M801" s="127"/>
      <c r="U801" s="127"/>
      <c r="V801" s="223"/>
    </row>
    <row r="802">
      <c r="M802" s="127"/>
      <c r="U802" s="127"/>
      <c r="V802" s="223"/>
    </row>
    <row r="803">
      <c r="M803" s="127"/>
      <c r="U803" s="127"/>
      <c r="V803" s="223"/>
    </row>
    <row r="804">
      <c r="M804" s="127"/>
      <c r="U804" s="127"/>
      <c r="V804" s="223"/>
    </row>
    <row r="805">
      <c r="M805" s="127"/>
      <c r="U805" s="127"/>
      <c r="V805" s="223"/>
    </row>
    <row r="806">
      <c r="M806" s="127"/>
      <c r="U806" s="127"/>
      <c r="V806" s="223"/>
    </row>
    <row r="807">
      <c r="M807" s="127"/>
      <c r="U807" s="127"/>
      <c r="V807" s="223"/>
    </row>
    <row r="808">
      <c r="M808" s="127"/>
      <c r="U808" s="127"/>
      <c r="V808" s="223"/>
    </row>
    <row r="809">
      <c r="M809" s="127"/>
      <c r="U809" s="127"/>
      <c r="V809" s="223"/>
    </row>
    <row r="810">
      <c r="M810" s="127"/>
      <c r="U810" s="127"/>
      <c r="V810" s="223"/>
    </row>
    <row r="811">
      <c r="M811" s="127"/>
      <c r="U811" s="127"/>
      <c r="V811" s="223"/>
    </row>
    <row r="812">
      <c r="M812" s="127"/>
      <c r="U812" s="127"/>
      <c r="V812" s="223"/>
    </row>
    <row r="813">
      <c r="M813" s="127"/>
      <c r="U813" s="127"/>
      <c r="V813" s="223"/>
    </row>
    <row r="814">
      <c r="M814" s="127"/>
      <c r="U814" s="127"/>
      <c r="V814" s="223"/>
    </row>
    <row r="815">
      <c r="M815" s="127"/>
      <c r="U815" s="127"/>
      <c r="V815" s="223"/>
    </row>
    <row r="816">
      <c r="M816" s="127"/>
      <c r="U816" s="127"/>
      <c r="V816" s="223"/>
    </row>
    <row r="817">
      <c r="M817" s="127"/>
      <c r="U817" s="127"/>
      <c r="V817" s="223"/>
    </row>
    <row r="818">
      <c r="M818" s="127"/>
      <c r="U818" s="127"/>
      <c r="V818" s="223"/>
    </row>
    <row r="819">
      <c r="M819" s="127"/>
      <c r="U819" s="127"/>
      <c r="V819" s="223"/>
    </row>
    <row r="820">
      <c r="M820" s="127"/>
      <c r="U820" s="127"/>
      <c r="V820" s="223"/>
    </row>
    <row r="821">
      <c r="M821" s="127"/>
      <c r="U821" s="127"/>
      <c r="V821" s="223"/>
    </row>
    <row r="822">
      <c r="M822" s="127"/>
      <c r="U822" s="127"/>
      <c r="V822" s="223"/>
    </row>
    <row r="823">
      <c r="M823" s="127"/>
      <c r="U823" s="127"/>
      <c r="V823" s="223"/>
    </row>
    <row r="824">
      <c r="M824" s="127"/>
      <c r="U824" s="127"/>
      <c r="V824" s="223"/>
    </row>
    <row r="825">
      <c r="M825" s="127"/>
      <c r="U825" s="127"/>
      <c r="V825" s="223"/>
    </row>
    <row r="826">
      <c r="M826" s="127"/>
      <c r="U826" s="127"/>
      <c r="V826" s="223"/>
    </row>
    <row r="827">
      <c r="M827" s="127"/>
      <c r="U827" s="127"/>
      <c r="V827" s="223"/>
    </row>
    <row r="828">
      <c r="M828" s="127"/>
      <c r="U828" s="127"/>
      <c r="V828" s="223"/>
    </row>
    <row r="829">
      <c r="M829" s="127"/>
      <c r="U829" s="127"/>
      <c r="V829" s="223"/>
    </row>
    <row r="830">
      <c r="M830" s="127"/>
      <c r="U830" s="127"/>
      <c r="V830" s="223"/>
    </row>
    <row r="831">
      <c r="M831" s="127"/>
      <c r="U831" s="127"/>
      <c r="V831" s="223"/>
    </row>
    <row r="832">
      <c r="M832" s="127"/>
      <c r="U832" s="127"/>
      <c r="V832" s="223"/>
    </row>
    <row r="833">
      <c r="M833" s="127"/>
      <c r="U833" s="127"/>
      <c r="V833" s="223"/>
    </row>
    <row r="834">
      <c r="M834" s="127"/>
      <c r="U834" s="127"/>
      <c r="V834" s="223"/>
    </row>
    <row r="835">
      <c r="M835" s="127"/>
      <c r="U835" s="127"/>
      <c r="V835" s="223"/>
    </row>
    <row r="836">
      <c r="M836" s="127"/>
      <c r="U836" s="127"/>
      <c r="V836" s="223"/>
    </row>
    <row r="837">
      <c r="M837" s="127"/>
      <c r="U837" s="127"/>
      <c r="V837" s="223"/>
    </row>
    <row r="838">
      <c r="M838" s="127"/>
      <c r="U838" s="127"/>
      <c r="V838" s="223"/>
    </row>
    <row r="839">
      <c r="M839" s="127"/>
      <c r="U839" s="127"/>
      <c r="V839" s="223"/>
    </row>
    <row r="840">
      <c r="M840" s="127"/>
      <c r="U840" s="127"/>
      <c r="V840" s="223"/>
    </row>
    <row r="841">
      <c r="M841" s="127"/>
      <c r="U841" s="127"/>
      <c r="V841" s="223"/>
    </row>
    <row r="842">
      <c r="M842" s="127"/>
      <c r="U842" s="127"/>
      <c r="V842" s="223"/>
    </row>
    <row r="843">
      <c r="M843" s="127"/>
      <c r="U843" s="127"/>
      <c r="V843" s="223"/>
    </row>
    <row r="844">
      <c r="M844" s="127"/>
      <c r="U844" s="127"/>
      <c r="V844" s="223"/>
    </row>
    <row r="845">
      <c r="M845" s="127"/>
      <c r="U845" s="127"/>
      <c r="V845" s="223"/>
    </row>
    <row r="846">
      <c r="M846" s="127"/>
      <c r="U846" s="127"/>
      <c r="V846" s="223"/>
    </row>
    <row r="847">
      <c r="M847" s="127"/>
      <c r="U847" s="127"/>
      <c r="V847" s="223"/>
    </row>
    <row r="848">
      <c r="M848" s="127"/>
      <c r="U848" s="127"/>
      <c r="V848" s="223"/>
    </row>
    <row r="849">
      <c r="M849" s="127"/>
      <c r="U849" s="127"/>
      <c r="V849" s="223"/>
    </row>
    <row r="850">
      <c r="M850" s="127"/>
      <c r="U850" s="127"/>
      <c r="V850" s="223"/>
    </row>
    <row r="851">
      <c r="M851" s="127"/>
      <c r="U851" s="127"/>
      <c r="V851" s="223"/>
    </row>
    <row r="852">
      <c r="M852" s="127"/>
      <c r="U852" s="127"/>
      <c r="V852" s="223"/>
    </row>
    <row r="853">
      <c r="M853" s="127"/>
      <c r="U853" s="127"/>
      <c r="V853" s="223"/>
    </row>
    <row r="854">
      <c r="M854" s="127"/>
      <c r="U854" s="127"/>
      <c r="V854" s="223"/>
    </row>
    <row r="855">
      <c r="M855" s="127"/>
      <c r="U855" s="127"/>
      <c r="V855" s="223"/>
    </row>
    <row r="856">
      <c r="M856" s="127"/>
      <c r="U856" s="127"/>
      <c r="V856" s="223"/>
    </row>
    <row r="857">
      <c r="M857" s="127"/>
      <c r="U857" s="127"/>
      <c r="V857" s="223"/>
    </row>
    <row r="858">
      <c r="M858" s="127"/>
      <c r="U858" s="127"/>
      <c r="V858" s="223"/>
    </row>
    <row r="859">
      <c r="M859" s="127"/>
      <c r="U859" s="127"/>
      <c r="V859" s="223"/>
    </row>
    <row r="860">
      <c r="M860" s="127"/>
      <c r="U860" s="127"/>
      <c r="V860" s="223"/>
    </row>
    <row r="861">
      <c r="M861" s="127"/>
      <c r="U861" s="127"/>
      <c r="V861" s="223"/>
    </row>
    <row r="862">
      <c r="M862" s="127"/>
      <c r="U862" s="127"/>
      <c r="V862" s="223"/>
    </row>
    <row r="863">
      <c r="M863" s="127"/>
      <c r="U863" s="127"/>
      <c r="V863" s="223"/>
    </row>
    <row r="864">
      <c r="M864" s="127"/>
      <c r="U864" s="127"/>
      <c r="V864" s="223"/>
    </row>
    <row r="865">
      <c r="M865" s="127"/>
      <c r="U865" s="127"/>
      <c r="V865" s="223"/>
    </row>
    <row r="866">
      <c r="M866" s="127"/>
      <c r="U866" s="127"/>
      <c r="V866" s="223"/>
    </row>
    <row r="867">
      <c r="M867" s="127"/>
      <c r="U867" s="127"/>
      <c r="V867" s="223"/>
    </row>
    <row r="868">
      <c r="M868" s="127"/>
      <c r="U868" s="127"/>
      <c r="V868" s="223"/>
    </row>
    <row r="869">
      <c r="M869" s="127"/>
      <c r="U869" s="127"/>
      <c r="V869" s="223"/>
    </row>
    <row r="870">
      <c r="M870" s="127"/>
      <c r="U870" s="127"/>
      <c r="V870" s="223"/>
    </row>
    <row r="871">
      <c r="M871" s="127"/>
      <c r="U871" s="127"/>
      <c r="V871" s="223"/>
    </row>
    <row r="872">
      <c r="M872" s="127"/>
      <c r="U872" s="127"/>
      <c r="V872" s="223"/>
    </row>
    <row r="873">
      <c r="M873" s="127"/>
      <c r="U873" s="127"/>
      <c r="V873" s="223"/>
    </row>
    <row r="874">
      <c r="M874" s="127"/>
      <c r="U874" s="127"/>
      <c r="V874" s="223"/>
    </row>
    <row r="875">
      <c r="M875" s="127"/>
      <c r="U875" s="127"/>
      <c r="V875" s="223"/>
    </row>
    <row r="876">
      <c r="M876" s="127"/>
      <c r="U876" s="127"/>
      <c r="V876" s="223"/>
    </row>
    <row r="877">
      <c r="M877" s="127"/>
      <c r="U877" s="127"/>
      <c r="V877" s="223"/>
    </row>
    <row r="878">
      <c r="M878" s="127"/>
      <c r="U878" s="127"/>
      <c r="V878" s="223"/>
    </row>
    <row r="879">
      <c r="M879" s="127"/>
      <c r="U879" s="127"/>
      <c r="V879" s="223"/>
    </row>
    <row r="880">
      <c r="M880" s="127"/>
      <c r="U880" s="127"/>
      <c r="V880" s="223"/>
    </row>
    <row r="881">
      <c r="M881" s="127"/>
      <c r="U881" s="127"/>
      <c r="V881" s="223"/>
    </row>
    <row r="882">
      <c r="M882" s="127"/>
      <c r="U882" s="127"/>
      <c r="V882" s="223"/>
    </row>
    <row r="883">
      <c r="M883" s="127"/>
      <c r="U883" s="127"/>
      <c r="V883" s="223"/>
    </row>
    <row r="884">
      <c r="M884" s="127"/>
      <c r="U884" s="127"/>
      <c r="V884" s="223"/>
    </row>
    <row r="885">
      <c r="M885" s="127"/>
      <c r="U885" s="127"/>
      <c r="V885" s="223"/>
    </row>
    <row r="886">
      <c r="M886" s="127"/>
      <c r="U886" s="127"/>
      <c r="V886" s="223"/>
    </row>
    <row r="887">
      <c r="M887" s="127"/>
      <c r="U887" s="127"/>
      <c r="V887" s="223"/>
    </row>
    <row r="888">
      <c r="M888" s="127"/>
      <c r="U888" s="127"/>
      <c r="V888" s="223"/>
    </row>
    <row r="889">
      <c r="M889" s="127"/>
      <c r="U889" s="127"/>
      <c r="V889" s="223"/>
    </row>
    <row r="890">
      <c r="M890" s="127"/>
      <c r="U890" s="127"/>
      <c r="V890" s="223"/>
    </row>
    <row r="891">
      <c r="M891" s="127"/>
      <c r="U891" s="127"/>
      <c r="V891" s="223"/>
    </row>
    <row r="892">
      <c r="M892" s="127"/>
      <c r="U892" s="127"/>
      <c r="V892" s="223"/>
    </row>
    <row r="893">
      <c r="M893" s="127"/>
      <c r="U893" s="127"/>
      <c r="V893" s="223"/>
    </row>
    <row r="894">
      <c r="M894" s="127"/>
      <c r="U894" s="127"/>
      <c r="V894" s="223"/>
    </row>
    <row r="895">
      <c r="M895" s="127"/>
      <c r="U895" s="127"/>
      <c r="V895" s="223"/>
    </row>
    <row r="896">
      <c r="M896" s="127"/>
      <c r="U896" s="127"/>
      <c r="V896" s="223"/>
    </row>
    <row r="897">
      <c r="M897" s="127"/>
      <c r="U897" s="127"/>
      <c r="V897" s="223"/>
    </row>
    <row r="898">
      <c r="M898" s="127"/>
      <c r="U898" s="127"/>
      <c r="V898" s="223"/>
    </row>
    <row r="899">
      <c r="M899" s="127"/>
      <c r="U899" s="127"/>
      <c r="V899" s="223"/>
    </row>
    <row r="900">
      <c r="M900" s="127"/>
      <c r="U900" s="127"/>
      <c r="V900" s="223"/>
    </row>
    <row r="901">
      <c r="M901" s="127"/>
      <c r="U901" s="127"/>
      <c r="V901" s="223"/>
    </row>
    <row r="902">
      <c r="M902" s="127"/>
      <c r="U902" s="127"/>
      <c r="V902" s="223"/>
    </row>
    <row r="903">
      <c r="M903" s="127"/>
      <c r="U903" s="127"/>
      <c r="V903" s="223"/>
    </row>
    <row r="904">
      <c r="M904" s="127"/>
      <c r="U904" s="127"/>
      <c r="V904" s="223"/>
    </row>
    <row r="905">
      <c r="M905" s="127"/>
      <c r="U905" s="127"/>
      <c r="V905" s="223"/>
    </row>
    <row r="906">
      <c r="M906" s="127"/>
      <c r="U906" s="127"/>
      <c r="V906" s="223"/>
    </row>
    <row r="907">
      <c r="M907" s="127"/>
      <c r="U907" s="127"/>
      <c r="V907" s="223"/>
    </row>
    <row r="908">
      <c r="M908" s="127"/>
      <c r="U908" s="127"/>
      <c r="V908" s="223"/>
    </row>
    <row r="909">
      <c r="M909" s="127"/>
      <c r="U909" s="127"/>
      <c r="V909" s="223"/>
    </row>
    <row r="910">
      <c r="M910" s="127"/>
      <c r="U910" s="127"/>
      <c r="V910" s="223"/>
    </row>
    <row r="911">
      <c r="M911" s="127"/>
      <c r="U911" s="127"/>
      <c r="V911" s="223"/>
    </row>
    <row r="912">
      <c r="M912" s="127"/>
      <c r="U912" s="127"/>
      <c r="V912" s="223"/>
    </row>
    <row r="913">
      <c r="M913" s="127"/>
      <c r="U913" s="127"/>
      <c r="V913" s="223"/>
    </row>
    <row r="914">
      <c r="M914" s="127"/>
      <c r="U914" s="127"/>
      <c r="V914" s="223"/>
    </row>
    <row r="915">
      <c r="M915" s="127"/>
      <c r="U915" s="127"/>
      <c r="V915" s="223"/>
    </row>
    <row r="916">
      <c r="M916" s="127"/>
      <c r="U916" s="127"/>
      <c r="V916" s="223"/>
    </row>
    <row r="917">
      <c r="M917" s="127"/>
      <c r="U917" s="127"/>
      <c r="V917" s="223"/>
    </row>
    <row r="918">
      <c r="M918" s="127"/>
      <c r="U918" s="127"/>
      <c r="V918" s="223"/>
    </row>
    <row r="919">
      <c r="M919" s="127"/>
      <c r="U919" s="127"/>
      <c r="V919" s="223"/>
    </row>
    <row r="920">
      <c r="M920" s="127"/>
      <c r="U920" s="127"/>
      <c r="V920" s="223"/>
    </row>
    <row r="921">
      <c r="M921" s="127"/>
      <c r="U921" s="127"/>
      <c r="V921" s="223"/>
    </row>
    <row r="922">
      <c r="M922" s="127"/>
      <c r="U922" s="127"/>
      <c r="V922" s="223"/>
    </row>
    <row r="923">
      <c r="M923" s="127"/>
      <c r="U923" s="127"/>
      <c r="V923" s="223"/>
    </row>
    <row r="924">
      <c r="M924" s="127"/>
      <c r="U924" s="127"/>
      <c r="V924" s="223"/>
    </row>
    <row r="925">
      <c r="M925" s="127"/>
      <c r="U925" s="127"/>
      <c r="V925" s="223"/>
    </row>
    <row r="926">
      <c r="M926" s="127"/>
      <c r="U926" s="127"/>
      <c r="V926" s="223"/>
    </row>
    <row r="927">
      <c r="M927" s="127"/>
      <c r="U927" s="127"/>
      <c r="V927" s="223"/>
    </row>
    <row r="928">
      <c r="M928" s="127"/>
      <c r="U928" s="127"/>
      <c r="V928" s="223"/>
    </row>
    <row r="929">
      <c r="M929" s="127"/>
      <c r="U929" s="127"/>
      <c r="V929" s="223"/>
    </row>
    <row r="930">
      <c r="M930" s="127"/>
      <c r="U930" s="127"/>
      <c r="V930" s="223"/>
    </row>
    <row r="931">
      <c r="M931" s="127"/>
      <c r="U931" s="127"/>
      <c r="V931" s="223"/>
    </row>
    <row r="932">
      <c r="M932" s="127"/>
      <c r="U932" s="127"/>
      <c r="V932" s="223"/>
    </row>
    <row r="933">
      <c r="M933" s="127"/>
      <c r="U933" s="127"/>
      <c r="V933" s="223"/>
    </row>
    <row r="934">
      <c r="M934" s="127"/>
      <c r="U934" s="127"/>
      <c r="V934" s="223"/>
    </row>
    <row r="935">
      <c r="M935" s="127"/>
      <c r="U935" s="127"/>
      <c r="V935" s="223"/>
    </row>
    <row r="936">
      <c r="M936" s="127"/>
      <c r="U936" s="127"/>
      <c r="V936" s="223"/>
    </row>
    <row r="937">
      <c r="M937" s="127"/>
      <c r="U937" s="127"/>
      <c r="V937" s="223"/>
    </row>
    <row r="938">
      <c r="M938" s="127"/>
      <c r="U938" s="127"/>
      <c r="V938" s="223"/>
    </row>
    <row r="939">
      <c r="M939" s="127"/>
      <c r="U939" s="127"/>
      <c r="V939" s="223"/>
    </row>
    <row r="940">
      <c r="M940" s="127"/>
      <c r="U940" s="127"/>
      <c r="V940" s="223"/>
    </row>
    <row r="941">
      <c r="M941" s="127"/>
      <c r="U941" s="127"/>
      <c r="V941" s="223"/>
    </row>
    <row r="942">
      <c r="M942" s="127"/>
      <c r="U942" s="127"/>
      <c r="V942" s="223"/>
    </row>
    <row r="943">
      <c r="M943" s="127"/>
      <c r="U943" s="127"/>
      <c r="V943" s="223"/>
    </row>
    <row r="944">
      <c r="M944" s="127"/>
      <c r="U944" s="127"/>
      <c r="V944" s="223"/>
    </row>
    <row r="945">
      <c r="M945" s="127"/>
      <c r="U945" s="127"/>
      <c r="V945" s="223"/>
    </row>
    <row r="946">
      <c r="M946" s="127"/>
      <c r="U946" s="127"/>
      <c r="V946" s="223"/>
    </row>
    <row r="947">
      <c r="M947" s="127"/>
      <c r="U947" s="127"/>
      <c r="V947" s="223"/>
    </row>
    <row r="948">
      <c r="M948" s="127"/>
      <c r="U948" s="127"/>
      <c r="V948" s="223"/>
    </row>
    <row r="949">
      <c r="M949" s="127"/>
      <c r="U949" s="127"/>
      <c r="V949" s="223"/>
    </row>
    <row r="950">
      <c r="M950" s="127"/>
      <c r="U950" s="127"/>
      <c r="V950" s="223"/>
    </row>
    <row r="951">
      <c r="M951" s="127"/>
      <c r="U951" s="127"/>
      <c r="V951" s="223"/>
    </row>
    <row r="952">
      <c r="M952" s="127"/>
      <c r="U952" s="127"/>
      <c r="V952" s="223"/>
    </row>
    <row r="953">
      <c r="M953" s="127"/>
      <c r="U953" s="127"/>
      <c r="V953" s="223"/>
    </row>
    <row r="954">
      <c r="M954" s="127"/>
      <c r="U954" s="127"/>
      <c r="V954" s="223"/>
    </row>
    <row r="955">
      <c r="M955" s="127"/>
      <c r="U955" s="127"/>
      <c r="V955" s="223"/>
    </row>
    <row r="956">
      <c r="M956" s="127"/>
      <c r="U956" s="127"/>
      <c r="V956" s="223"/>
    </row>
    <row r="957">
      <c r="M957" s="127"/>
      <c r="U957" s="127"/>
      <c r="V957" s="223"/>
    </row>
    <row r="958">
      <c r="M958" s="127"/>
      <c r="U958" s="127"/>
      <c r="V958" s="223"/>
    </row>
    <row r="959">
      <c r="M959" s="127"/>
      <c r="U959" s="127"/>
      <c r="V959" s="223"/>
    </row>
    <row r="960">
      <c r="M960" s="127"/>
      <c r="U960" s="127"/>
      <c r="V960" s="223"/>
    </row>
    <row r="961">
      <c r="M961" s="127"/>
      <c r="U961" s="127"/>
      <c r="V961" s="223"/>
    </row>
    <row r="962">
      <c r="M962" s="127"/>
      <c r="U962" s="127"/>
      <c r="V962" s="223"/>
    </row>
    <row r="963">
      <c r="M963" s="127"/>
      <c r="U963" s="127"/>
      <c r="V963" s="223"/>
    </row>
    <row r="964">
      <c r="M964" s="127"/>
      <c r="U964" s="127"/>
      <c r="V964" s="223"/>
    </row>
    <row r="965">
      <c r="M965" s="127"/>
      <c r="U965" s="127"/>
      <c r="V965" s="223"/>
    </row>
    <row r="966">
      <c r="M966" s="127"/>
      <c r="U966" s="127"/>
      <c r="V966" s="223"/>
    </row>
    <row r="967">
      <c r="M967" s="127"/>
      <c r="U967" s="127"/>
      <c r="V967" s="223"/>
    </row>
    <row r="968">
      <c r="M968" s="127"/>
      <c r="U968" s="127"/>
      <c r="V968" s="223"/>
    </row>
    <row r="969">
      <c r="M969" s="127"/>
      <c r="U969" s="127"/>
      <c r="V969" s="223"/>
    </row>
    <row r="970">
      <c r="M970" s="127"/>
      <c r="U970" s="127"/>
      <c r="V970" s="223"/>
    </row>
    <row r="971">
      <c r="M971" s="127"/>
      <c r="U971" s="127"/>
      <c r="V971" s="223"/>
    </row>
    <row r="972">
      <c r="M972" s="127"/>
      <c r="U972" s="127"/>
      <c r="V972" s="223"/>
    </row>
    <row r="973">
      <c r="M973" s="127"/>
      <c r="U973" s="127"/>
      <c r="V973" s="223"/>
    </row>
    <row r="974">
      <c r="M974" s="127"/>
      <c r="U974" s="127"/>
      <c r="V974" s="223"/>
    </row>
    <row r="975">
      <c r="M975" s="127"/>
      <c r="U975" s="127"/>
      <c r="V975" s="223"/>
    </row>
    <row r="976">
      <c r="M976" s="127"/>
      <c r="U976" s="127"/>
      <c r="V976" s="223"/>
    </row>
    <row r="977">
      <c r="M977" s="127"/>
      <c r="U977" s="127"/>
      <c r="V977" s="223"/>
    </row>
    <row r="978">
      <c r="M978" s="127"/>
      <c r="U978" s="127"/>
      <c r="V978" s="223"/>
    </row>
    <row r="979">
      <c r="M979" s="127"/>
      <c r="U979" s="127"/>
      <c r="V979" s="223"/>
    </row>
    <row r="980">
      <c r="M980" s="127"/>
      <c r="U980" s="127"/>
      <c r="V980" s="223"/>
    </row>
    <row r="981">
      <c r="M981" s="127"/>
      <c r="U981" s="127"/>
      <c r="V981" s="223"/>
    </row>
    <row r="982">
      <c r="M982" s="127"/>
      <c r="U982" s="127"/>
      <c r="V982" s="223"/>
    </row>
    <row r="983">
      <c r="M983" s="127"/>
      <c r="U983" s="127"/>
      <c r="V983" s="223"/>
    </row>
    <row r="984">
      <c r="M984" s="127"/>
      <c r="U984" s="127"/>
      <c r="V984" s="223"/>
    </row>
    <row r="985">
      <c r="M985" s="127"/>
      <c r="U985" s="127"/>
      <c r="V985" s="223"/>
    </row>
    <row r="986">
      <c r="M986" s="127"/>
      <c r="U986" s="127"/>
      <c r="V986" s="223"/>
    </row>
    <row r="987">
      <c r="M987" s="127"/>
      <c r="U987" s="127"/>
      <c r="V987" s="223"/>
    </row>
    <row r="988">
      <c r="M988" s="127"/>
      <c r="U988" s="127"/>
      <c r="V988" s="223"/>
    </row>
    <row r="989">
      <c r="M989" s="127"/>
      <c r="U989" s="127"/>
      <c r="V989" s="223"/>
    </row>
    <row r="990">
      <c r="M990" s="127"/>
      <c r="U990" s="127"/>
      <c r="V990" s="223"/>
    </row>
    <row r="991">
      <c r="M991" s="127"/>
      <c r="U991" s="127"/>
      <c r="V991" s="223"/>
    </row>
    <row r="992">
      <c r="M992" s="127"/>
      <c r="U992" s="127"/>
      <c r="V992" s="223"/>
    </row>
    <row r="993">
      <c r="M993" s="127"/>
      <c r="U993" s="127"/>
      <c r="V993" s="223"/>
    </row>
    <row r="994">
      <c r="M994" s="127"/>
      <c r="U994" s="127"/>
      <c r="V994" s="223"/>
    </row>
    <row r="995">
      <c r="M995" s="127"/>
      <c r="U995" s="127"/>
      <c r="V995" s="223"/>
    </row>
    <row r="996">
      <c r="M996" s="127"/>
      <c r="U996" s="127"/>
      <c r="V996" s="223"/>
    </row>
    <row r="997">
      <c r="M997" s="127"/>
      <c r="U997" s="127"/>
      <c r="V997" s="223"/>
    </row>
    <row r="998">
      <c r="M998" s="127"/>
      <c r="U998" s="127"/>
      <c r="V998" s="223"/>
    </row>
    <row r="999">
      <c r="M999" s="127"/>
      <c r="U999" s="127"/>
      <c r="V999" s="223"/>
    </row>
    <row r="1000">
      <c r="M1000" s="127"/>
      <c r="U1000" s="127"/>
      <c r="V1000" s="223"/>
    </row>
    <row r="1001">
      <c r="M1001" s="127"/>
      <c r="U1001" s="127"/>
      <c r="V1001" s="223"/>
    </row>
    <row r="1002">
      <c r="M1002" s="127"/>
      <c r="U1002" s="127"/>
      <c r="V1002" s="223"/>
    </row>
    <row r="1003">
      <c r="M1003" s="127"/>
      <c r="U1003" s="127"/>
      <c r="V1003" s="223"/>
    </row>
    <row r="1004">
      <c r="M1004" s="127"/>
      <c r="U1004" s="127"/>
      <c r="V1004" s="223"/>
    </row>
    <row r="1005">
      <c r="M1005" s="127"/>
      <c r="U1005" s="127"/>
      <c r="V1005" s="223"/>
    </row>
    <row r="1006">
      <c r="M1006" s="127"/>
      <c r="U1006" s="127"/>
      <c r="V1006" s="223"/>
    </row>
    <row r="1007">
      <c r="M1007" s="127"/>
      <c r="U1007" s="127"/>
      <c r="V1007" s="223"/>
    </row>
    <row r="1008">
      <c r="M1008" s="127"/>
      <c r="U1008" s="127"/>
      <c r="V1008" s="223"/>
    </row>
    <row r="1009">
      <c r="M1009" s="127"/>
      <c r="U1009" s="127"/>
      <c r="V1009" s="223"/>
    </row>
    <row r="1010">
      <c r="M1010" s="127"/>
      <c r="U1010" s="127"/>
      <c r="V1010" s="223"/>
    </row>
    <row r="1011">
      <c r="M1011" s="127"/>
      <c r="U1011" s="127"/>
      <c r="V1011" s="223"/>
    </row>
    <row r="1012">
      <c r="M1012" s="127"/>
      <c r="U1012" s="127"/>
      <c r="V1012" s="223"/>
    </row>
    <row r="1013">
      <c r="M1013" s="127"/>
      <c r="U1013" s="127"/>
      <c r="V1013" s="223"/>
    </row>
    <row r="1014">
      <c r="M1014" s="127"/>
      <c r="U1014" s="127"/>
      <c r="V1014" s="223"/>
    </row>
    <row r="1015">
      <c r="M1015" s="127"/>
      <c r="U1015" s="127"/>
      <c r="V1015" s="223"/>
    </row>
    <row r="1016">
      <c r="M1016" s="127"/>
      <c r="U1016" s="127"/>
      <c r="V1016" s="223"/>
    </row>
    <row r="1017">
      <c r="M1017" s="127"/>
      <c r="U1017" s="127"/>
      <c r="V1017" s="223"/>
    </row>
    <row r="1018">
      <c r="M1018" s="127"/>
      <c r="U1018" s="127"/>
      <c r="V1018" s="223"/>
    </row>
    <row r="1019">
      <c r="M1019" s="127"/>
      <c r="U1019" s="127"/>
      <c r="V1019" s="223"/>
    </row>
    <row r="1020">
      <c r="M1020" s="127"/>
      <c r="U1020" s="127"/>
      <c r="V1020" s="223"/>
    </row>
    <row r="1021">
      <c r="M1021" s="127"/>
      <c r="U1021" s="127"/>
      <c r="V1021" s="223"/>
    </row>
    <row r="1022">
      <c r="M1022" s="127"/>
      <c r="U1022" s="127"/>
      <c r="V1022" s="223"/>
    </row>
    <row r="1023">
      <c r="M1023" s="127"/>
      <c r="U1023" s="127"/>
      <c r="V1023" s="223"/>
    </row>
    <row r="1024">
      <c r="M1024" s="127"/>
      <c r="U1024" s="127"/>
      <c r="V1024" s="223"/>
    </row>
    <row r="1025">
      <c r="M1025" s="127"/>
      <c r="U1025" s="127"/>
      <c r="V1025" s="223"/>
    </row>
    <row r="1026">
      <c r="M1026" s="127"/>
      <c r="U1026" s="127"/>
      <c r="V1026" s="223"/>
    </row>
    <row r="1027">
      <c r="M1027" s="127"/>
      <c r="U1027" s="127"/>
      <c r="V1027" s="223"/>
    </row>
    <row r="1028">
      <c r="M1028" s="127"/>
      <c r="U1028" s="127"/>
      <c r="V1028" s="223"/>
    </row>
    <row r="1029">
      <c r="M1029" s="127"/>
      <c r="U1029" s="127"/>
      <c r="V1029" s="223"/>
    </row>
    <row r="1030">
      <c r="M1030" s="127"/>
      <c r="U1030" s="127"/>
      <c r="V1030" s="223"/>
    </row>
    <row r="1031">
      <c r="M1031" s="127"/>
      <c r="U1031" s="127"/>
      <c r="V1031" s="223"/>
    </row>
    <row r="1032">
      <c r="M1032" s="127"/>
      <c r="U1032" s="127"/>
      <c r="V1032" s="223"/>
    </row>
    <row r="1033">
      <c r="M1033" s="127"/>
      <c r="U1033" s="127"/>
      <c r="V1033" s="223"/>
    </row>
    <row r="1034">
      <c r="M1034" s="127"/>
      <c r="U1034" s="127"/>
      <c r="V1034" s="223"/>
    </row>
    <row r="1035">
      <c r="M1035" s="127"/>
      <c r="U1035" s="127"/>
      <c r="V1035" s="223"/>
    </row>
    <row r="1036">
      <c r="M1036" s="127"/>
      <c r="U1036" s="127"/>
      <c r="V1036" s="223"/>
    </row>
    <row r="1037">
      <c r="M1037" s="127"/>
      <c r="U1037" s="127"/>
      <c r="V1037" s="223"/>
    </row>
    <row r="1038">
      <c r="M1038" s="127"/>
      <c r="U1038" s="127"/>
      <c r="V1038" s="223"/>
    </row>
    <row r="1039">
      <c r="M1039" s="127"/>
      <c r="U1039" s="127"/>
      <c r="V1039" s="223"/>
    </row>
    <row r="1040">
      <c r="M1040" s="127"/>
      <c r="U1040" s="127"/>
      <c r="V1040" s="223"/>
    </row>
    <row r="1041">
      <c r="M1041" s="127"/>
      <c r="U1041" s="127"/>
      <c r="V1041" s="223"/>
    </row>
    <row r="1042">
      <c r="M1042" s="127"/>
      <c r="U1042" s="127"/>
      <c r="V1042" s="223"/>
    </row>
  </sheetData>
  <mergeCells count="3">
    <mergeCell ref="A1:T1"/>
    <mergeCell ref="B2:E2"/>
    <mergeCell ref="I2:T2"/>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41.88"/>
    <col customWidth="1" min="5" max="5" width="12.63"/>
    <col customWidth="1" min="6" max="6" width="4.88"/>
    <col customWidth="1" min="7" max="7" width="21.75"/>
    <col customWidth="1" min="8" max="8" width="2.0"/>
    <col customWidth="1" min="9" max="20" width="13.25"/>
    <col customWidth="1" min="21" max="21" width="5.38"/>
    <col customWidth="1" min="22" max="22" width="30.13"/>
  </cols>
  <sheetData>
    <row r="1">
      <c r="A1" s="96" t="s">
        <v>40</v>
      </c>
      <c r="U1" s="97"/>
      <c r="V1" s="98"/>
      <c r="W1" s="99"/>
      <c r="X1" s="99"/>
      <c r="Y1" s="99"/>
      <c r="Z1" s="99"/>
    </row>
    <row r="2">
      <c r="A2" s="100"/>
      <c r="B2" s="101" t="s">
        <v>41</v>
      </c>
      <c r="F2" s="102"/>
      <c r="G2" s="102"/>
      <c r="H2" s="102"/>
      <c r="I2" s="102">
        <v>2025.0</v>
      </c>
      <c r="U2" s="97"/>
      <c r="V2" s="98"/>
      <c r="W2" s="99"/>
      <c r="X2" s="99"/>
      <c r="Y2" s="99"/>
      <c r="Z2" s="99"/>
    </row>
    <row r="3">
      <c r="A3" s="100"/>
      <c r="B3" s="103"/>
      <c r="C3" s="104" t="s">
        <v>42</v>
      </c>
      <c r="D3" s="104" t="s">
        <v>120</v>
      </c>
      <c r="E3" s="105" t="s">
        <v>44</v>
      </c>
      <c r="F3" s="104"/>
      <c r="G3" s="104"/>
      <c r="H3" s="104"/>
      <c r="I3" s="224" t="s">
        <v>48</v>
      </c>
      <c r="J3" s="225" t="s">
        <v>49</v>
      </c>
      <c r="K3" s="224" t="s">
        <v>50</v>
      </c>
      <c r="L3" s="225" t="s">
        <v>51</v>
      </c>
      <c r="M3" s="224" t="s">
        <v>52</v>
      </c>
      <c r="N3" s="225" t="s">
        <v>53</v>
      </c>
      <c r="O3" s="225" t="s">
        <v>54</v>
      </c>
      <c r="P3" s="224" t="s">
        <v>55</v>
      </c>
      <c r="Q3" s="225" t="s">
        <v>56</v>
      </c>
      <c r="R3" s="225" t="s">
        <v>121</v>
      </c>
      <c r="S3" s="224" t="s">
        <v>122</v>
      </c>
      <c r="T3" s="225" t="s">
        <v>47</v>
      </c>
      <c r="V3" s="98"/>
      <c r="W3" s="107">
        <v>2025.0</v>
      </c>
      <c r="X3" s="99"/>
      <c r="Y3" s="99"/>
      <c r="Z3" s="99"/>
    </row>
    <row r="4">
      <c r="A4" s="108"/>
      <c r="B4" s="109" t="s">
        <v>57</v>
      </c>
      <c r="C4" s="110"/>
      <c r="D4" s="110"/>
      <c r="E4" s="108"/>
      <c r="F4" s="108"/>
      <c r="G4" s="108"/>
      <c r="H4" s="108"/>
      <c r="I4" s="226">
        <v>1.0</v>
      </c>
      <c r="J4" s="227">
        <v>176.0</v>
      </c>
      <c r="K4" s="227">
        <v>168.0</v>
      </c>
      <c r="L4" s="227">
        <v>184.0</v>
      </c>
      <c r="M4" s="227">
        <v>168.0</v>
      </c>
      <c r="N4" s="227">
        <v>176.0</v>
      </c>
      <c r="O4" s="227">
        <v>184.0</v>
      </c>
      <c r="P4" s="227">
        <v>160.0</v>
      </c>
      <c r="Q4" s="227">
        <v>184.0</v>
      </c>
      <c r="R4" s="227">
        <v>176.0</v>
      </c>
      <c r="S4" s="227">
        <v>160.0</v>
      </c>
      <c r="T4" s="227">
        <v>176.0</v>
      </c>
      <c r="V4" s="113" t="s">
        <v>58</v>
      </c>
      <c r="W4" s="114">
        <f>SUM(I4:T4)</f>
        <v>1913</v>
      </c>
      <c r="X4" s="115"/>
      <c r="Y4" s="115"/>
      <c r="Z4" s="115"/>
    </row>
    <row r="5">
      <c r="A5" s="108"/>
      <c r="B5" s="109" t="s">
        <v>59</v>
      </c>
      <c r="C5" s="116">
        <v>160.44</v>
      </c>
      <c r="D5" s="116">
        <v>84.15</v>
      </c>
      <c r="E5" s="108"/>
      <c r="F5" s="110"/>
      <c r="G5" s="110"/>
      <c r="H5" s="110"/>
      <c r="I5" s="118">
        <f t="shared" ref="I5:M5" si="1">$C$5</f>
        <v>160.44</v>
      </c>
      <c r="J5" s="118">
        <f t="shared" si="1"/>
        <v>160.44</v>
      </c>
      <c r="K5" s="118">
        <f t="shared" si="1"/>
        <v>160.44</v>
      </c>
      <c r="L5" s="118">
        <f t="shared" si="1"/>
        <v>160.44</v>
      </c>
      <c r="M5" s="118">
        <f t="shared" si="1"/>
        <v>160.44</v>
      </c>
      <c r="N5" s="118">
        <f t="shared" ref="N5:T5" si="2">$D$5</f>
        <v>84.15</v>
      </c>
      <c r="O5" s="118">
        <f t="shared" si="2"/>
        <v>84.15</v>
      </c>
      <c r="P5" s="118">
        <f t="shared" si="2"/>
        <v>84.15</v>
      </c>
      <c r="Q5" s="118">
        <f t="shared" si="2"/>
        <v>84.15</v>
      </c>
      <c r="R5" s="118">
        <f t="shared" si="2"/>
        <v>84.15</v>
      </c>
      <c r="S5" s="118">
        <f t="shared" si="2"/>
        <v>84.15</v>
      </c>
      <c r="T5" s="118">
        <f t="shared" si="2"/>
        <v>84.15</v>
      </c>
      <c r="V5" s="113"/>
      <c r="W5" s="114"/>
      <c r="X5" s="104"/>
      <c r="Y5" s="104"/>
      <c r="Z5" s="104"/>
    </row>
    <row r="6">
      <c r="A6" s="119"/>
      <c r="C6" s="118"/>
      <c r="D6" s="118"/>
      <c r="F6" s="119"/>
      <c r="G6" s="120" t="s">
        <v>60</v>
      </c>
      <c r="H6" s="121"/>
      <c r="I6" s="122">
        <f t="shared" ref="I6:T6" si="3">I5*I4</f>
        <v>160.44</v>
      </c>
      <c r="J6" s="122">
        <f t="shared" si="3"/>
        <v>28237.44</v>
      </c>
      <c r="K6" s="122">
        <f t="shared" si="3"/>
        <v>26953.92</v>
      </c>
      <c r="L6" s="122">
        <f t="shared" si="3"/>
        <v>29520.96</v>
      </c>
      <c r="M6" s="122">
        <f t="shared" si="3"/>
        <v>26953.92</v>
      </c>
      <c r="N6" s="122">
        <f t="shared" si="3"/>
        <v>14810.4</v>
      </c>
      <c r="O6" s="122">
        <f t="shared" si="3"/>
        <v>15483.6</v>
      </c>
      <c r="P6" s="122">
        <f t="shared" si="3"/>
        <v>13464</v>
      </c>
      <c r="Q6" s="122">
        <f t="shared" si="3"/>
        <v>15483.6</v>
      </c>
      <c r="R6" s="122">
        <f t="shared" si="3"/>
        <v>14810.4</v>
      </c>
      <c r="S6" s="122">
        <f t="shared" si="3"/>
        <v>13464</v>
      </c>
      <c r="T6" s="123">
        <f t="shared" si="3"/>
        <v>14810.4</v>
      </c>
      <c r="V6" s="124" t="s">
        <v>61</v>
      </c>
      <c r="W6" s="125">
        <f>SUM(I6:T6)</f>
        <v>214153.08</v>
      </c>
      <c r="X6" s="126"/>
      <c r="Y6" s="126"/>
      <c r="Z6" s="126"/>
    </row>
    <row r="7">
      <c r="A7" s="108"/>
      <c r="B7" s="108"/>
      <c r="C7" s="110"/>
      <c r="D7" s="110"/>
      <c r="E7" s="108"/>
      <c r="F7" s="108"/>
      <c r="G7" s="109"/>
      <c r="H7" s="108"/>
      <c r="I7" s="110"/>
      <c r="J7" s="110"/>
      <c r="K7" s="127"/>
      <c r="L7" s="127"/>
      <c r="M7" s="127"/>
      <c r="N7" s="127"/>
      <c r="O7" s="127"/>
      <c r="P7" s="127"/>
      <c r="Q7" s="110"/>
      <c r="R7" s="110"/>
      <c r="S7" s="110"/>
      <c r="T7" s="110"/>
      <c r="V7" s="113"/>
      <c r="W7" s="114"/>
      <c r="X7" s="126"/>
      <c r="Y7" s="126"/>
      <c r="Z7" s="126"/>
    </row>
    <row r="8">
      <c r="A8" s="108"/>
      <c r="B8" s="110" t="s">
        <v>62</v>
      </c>
      <c r="C8" s="128">
        <f>SUM(C9:C15)</f>
        <v>0.16542</v>
      </c>
      <c r="D8" s="110"/>
      <c r="E8" s="108"/>
      <c r="F8" s="108"/>
      <c r="G8" s="109"/>
      <c r="H8" s="108"/>
      <c r="I8" s="110"/>
      <c r="J8" s="118"/>
      <c r="K8" s="127"/>
      <c r="L8" s="127"/>
      <c r="M8" s="127"/>
      <c r="N8" s="127"/>
      <c r="O8" s="127"/>
      <c r="P8" s="127"/>
      <c r="Q8" s="118"/>
      <c r="R8" s="118"/>
      <c r="S8" s="118"/>
      <c r="T8" s="110"/>
      <c r="V8" s="113"/>
      <c r="W8" s="114"/>
      <c r="X8" s="126"/>
      <c r="Y8" s="126"/>
      <c r="Z8" s="126"/>
    </row>
    <row r="9">
      <c r="A9" s="129"/>
      <c r="B9" s="130" t="s">
        <v>63</v>
      </c>
      <c r="C9" s="131">
        <v>0.06201</v>
      </c>
      <c r="D9" s="128"/>
      <c r="E9" s="129"/>
      <c r="F9" s="129"/>
      <c r="G9" s="132"/>
      <c r="H9" s="129"/>
      <c r="I9" s="129"/>
      <c r="J9" s="110"/>
      <c r="K9" s="127"/>
      <c r="L9" s="127"/>
      <c r="M9" s="127"/>
      <c r="N9" s="127"/>
      <c r="O9" s="127"/>
      <c r="P9" s="127"/>
      <c r="Q9" s="110"/>
      <c r="R9" s="110"/>
      <c r="S9" s="110"/>
      <c r="T9" s="110"/>
      <c r="V9" s="133"/>
      <c r="W9" s="114"/>
      <c r="X9" s="126"/>
      <c r="Y9" s="126"/>
      <c r="Z9" s="126"/>
    </row>
    <row r="10">
      <c r="A10" s="108"/>
      <c r="B10" s="130" t="s">
        <v>64</v>
      </c>
      <c r="C10" s="131">
        <v>0.0145</v>
      </c>
      <c r="D10" s="128"/>
      <c r="E10" s="108"/>
      <c r="F10" s="108"/>
      <c r="G10" s="109"/>
      <c r="H10" s="108"/>
      <c r="I10" s="110"/>
      <c r="J10" s="110"/>
      <c r="K10" s="127"/>
      <c r="L10" s="127"/>
      <c r="M10" s="127"/>
      <c r="N10" s="127"/>
      <c r="O10" s="127"/>
      <c r="P10" s="127"/>
      <c r="Q10" s="110"/>
      <c r="R10" s="110"/>
      <c r="S10" s="110"/>
      <c r="T10" s="110"/>
      <c r="V10" s="133"/>
      <c r="W10" s="114"/>
      <c r="X10" s="126"/>
      <c r="Y10" s="126"/>
      <c r="Z10" s="126"/>
    </row>
    <row r="11">
      <c r="A11" s="99"/>
      <c r="B11" s="130" t="s">
        <v>65</v>
      </c>
      <c r="C11" s="131">
        <v>0.006</v>
      </c>
      <c r="D11" s="128"/>
      <c r="E11" s="99"/>
      <c r="F11" s="99"/>
      <c r="G11" s="132"/>
      <c r="H11" s="99"/>
      <c r="I11" s="97"/>
      <c r="J11" s="129"/>
      <c r="K11" s="127"/>
      <c r="L11" s="127"/>
      <c r="M11" s="127"/>
      <c r="N11" s="127"/>
      <c r="O11" s="127"/>
      <c r="P11" s="127"/>
      <c r="Q11" s="129"/>
      <c r="R11" s="129"/>
      <c r="S11" s="129"/>
      <c r="T11" s="110"/>
      <c r="V11" s="133"/>
      <c r="W11" s="114"/>
      <c r="X11" s="99"/>
      <c r="Y11" s="99"/>
      <c r="Z11" s="99"/>
    </row>
    <row r="12">
      <c r="A12" s="134"/>
      <c r="B12" s="130" t="s">
        <v>66</v>
      </c>
      <c r="C12" s="131">
        <v>0.034</v>
      </c>
      <c r="D12" s="128"/>
      <c r="E12" s="134"/>
      <c r="F12" s="134"/>
      <c r="G12" s="135"/>
      <c r="H12" s="134"/>
      <c r="I12" s="136"/>
      <c r="J12" s="110"/>
      <c r="K12" s="127"/>
      <c r="L12" s="127"/>
      <c r="M12" s="127"/>
      <c r="N12" s="127"/>
      <c r="O12" s="127"/>
      <c r="P12" s="127"/>
      <c r="Q12" s="110"/>
      <c r="R12" s="110"/>
      <c r="S12" s="110"/>
      <c r="T12" s="110"/>
      <c r="V12" s="133"/>
      <c r="W12" s="114"/>
      <c r="X12" s="137"/>
      <c r="Y12" s="128"/>
      <c r="Z12" s="110"/>
    </row>
    <row r="13">
      <c r="A13" s="134"/>
      <c r="B13" s="130" t="s">
        <v>67</v>
      </c>
      <c r="C13" s="131">
        <v>0.00101</v>
      </c>
      <c r="D13" s="128"/>
      <c r="E13" s="134"/>
      <c r="F13" s="134"/>
      <c r="G13" s="135"/>
      <c r="H13" s="134"/>
      <c r="I13" s="136"/>
      <c r="J13" s="97"/>
      <c r="K13" s="127"/>
      <c r="L13" s="127"/>
      <c r="M13" s="127"/>
      <c r="N13" s="127"/>
      <c r="O13" s="127"/>
      <c r="P13" s="127"/>
      <c r="Q13" s="97"/>
      <c r="R13" s="97"/>
      <c r="S13" s="97"/>
      <c r="T13" s="110"/>
      <c r="V13" s="133"/>
      <c r="W13" s="114"/>
      <c r="X13" s="99"/>
      <c r="Y13" s="99"/>
      <c r="Z13" s="99"/>
    </row>
    <row r="14">
      <c r="A14" s="134"/>
      <c r="B14" s="130" t="s">
        <v>68</v>
      </c>
      <c r="C14" s="131">
        <v>0.0379</v>
      </c>
      <c r="D14" s="128"/>
      <c r="E14" s="134"/>
      <c r="F14" s="134"/>
      <c r="G14" s="135"/>
      <c r="H14" s="134"/>
      <c r="I14" s="136"/>
      <c r="J14" s="136"/>
      <c r="K14" s="127"/>
      <c r="L14" s="127"/>
      <c r="M14" s="127"/>
      <c r="N14" s="127"/>
      <c r="O14" s="127"/>
      <c r="P14" s="127"/>
      <c r="Q14" s="136"/>
      <c r="R14" s="136"/>
      <c r="S14" s="136"/>
      <c r="T14" s="110"/>
      <c r="V14" s="133"/>
      <c r="W14" s="114"/>
      <c r="X14" s="99"/>
      <c r="Y14" s="99"/>
      <c r="Z14" s="99"/>
    </row>
    <row r="15">
      <c r="A15" s="134"/>
      <c r="B15" s="138" t="s">
        <v>69</v>
      </c>
      <c r="C15" s="139">
        <v>0.01</v>
      </c>
      <c r="D15" s="128"/>
      <c r="E15" s="134"/>
      <c r="F15" s="134"/>
      <c r="G15" s="135"/>
      <c r="H15" s="134"/>
      <c r="I15" s="136"/>
      <c r="J15" s="136"/>
      <c r="K15" s="127"/>
      <c r="L15" s="127"/>
      <c r="M15" s="127"/>
      <c r="N15" s="127"/>
      <c r="O15" s="127"/>
      <c r="P15" s="127"/>
      <c r="Q15" s="136"/>
      <c r="R15" s="136"/>
      <c r="S15" s="136"/>
      <c r="T15" s="110"/>
      <c r="V15" s="140"/>
      <c r="W15" s="114"/>
      <c r="X15" s="99"/>
      <c r="Y15" s="99"/>
      <c r="Z15" s="99"/>
    </row>
    <row r="16">
      <c r="A16" s="134"/>
      <c r="B16" s="141" t="s">
        <v>70</v>
      </c>
      <c r="C16" s="128">
        <f>(I19-I18)/I19</f>
        <v>0.2807826087</v>
      </c>
      <c r="D16" s="128"/>
      <c r="E16" s="134"/>
      <c r="F16" s="134"/>
      <c r="G16" s="135"/>
      <c r="H16" s="134"/>
      <c r="I16" s="136"/>
      <c r="J16" s="136"/>
      <c r="K16" s="127"/>
      <c r="L16" s="127"/>
      <c r="M16" s="127"/>
      <c r="N16" s="127"/>
      <c r="O16" s="127"/>
      <c r="P16" s="127"/>
      <c r="Q16" s="136"/>
      <c r="R16" s="136"/>
      <c r="S16" s="136"/>
      <c r="T16" s="110"/>
      <c r="V16" s="140"/>
      <c r="W16" s="114"/>
      <c r="X16" s="99"/>
      <c r="Y16" s="99"/>
      <c r="Z16" s="99"/>
    </row>
    <row r="17">
      <c r="A17" s="142"/>
      <c r="C17" s="109"/>
      <c r="D17" s="109"/>
      <c r="E17" s="143">
        <v>0.23</v>
      </c>
      <c r="F17" s="142"/>
      <c r="G17" s="109"/>
      <c r="H17" s="142"/>
      <c r="I17" s="144"/>
      <c r="J17" s="144"/>
      <c r="K17" s="144"/>
      <c r="L17" s="144"/>
      <c r="M17" s="144"/>
      <c r="N17" s="144"/>
      <c r="O17" s="144"/>
      <c r="P17" s="144"/>
      <c r="Q17" s="144"/>
      <c r="R17" s="144"/>
      <c r="S17" s="144"/>
      <c r="T17" s="144"/>
      <c r="V17" s="113"/>
      <c r="W17" s="114"/>
      <c r="X17" s="137"/>
      <c r="Y17" s="128"/>
      <c r="Z17" s="110"/>
    </row>
    <row r="18">
      <c r="A18" s="134"/>
      <c r="C18" s="127"/>
      <c r="D18" s="127"/>
      <c r="F18" s="134"/>
      <c r="G18" s="135" t="s">
        <v>71</v>
      </c>
      <c r="H18" s="134"/>
      <c r="I18" s="136">
        <f t="shared" ref="I18:T18" si="4">(I6*$C$8)</f>
        <v>26.5399848</v>
      </c>
      <c r="J18" s="136">
        <f t="shared" si="4"/>
        <v>4671.037325</v>
      </c>
      <c r="K18" s="136">
        <f t="shared" si="4"/>
        <v>4458.717446</v>
      </c>
      <c r="L18" s="136">
        <f t="shared" si="4"/>
        <v>4883.357203</v>
      </c>
      <c r="M18" s="136">
        <f t="shared" si="4"/>
        <v>4458.717446</v>
      </c>
      <c r="N18" s="136">
        <f t="shared" si="4"/>
        <v>2449.936368</v>
      </c>
      <c r="O18" s="136">
        <f t="shared" si="4"/>
        <v>2561.297112</v>
      </c>
      <c r="P18" s="136">
        <f t="shared" si="4"/>
        <v>2227.21488</v>
      </c>
      <c r="Q18" s="136">
        <f t="shared" si="4"/>
        <v>2561.297112</v>
      </c>
      <c r="R18" s="136">
        <f t="shared" si="4"/>
        <v>2449.936368</v>
      </c>
      <c r="S18" s="136">
        <f t="shared" si="4"/>
        <v>2227.21488</v>
      </c>
      <c r="T18" s="136">
        <f t="shared" si="4"/>
        <v>2449.936368</v>
      </c>
      <c r="V18" s="145" t="s">
        <v>71</v>
      </c>
      <c r="W18" s="146">
        <f t="shared" ref="W18:W19" si="6">SUM(I18:T18)</f>
        <v>35425.20249</v>
      </c>
      <c r="X18" s="99"/>
      <c r="Y18" s="99"/>
      <c r="Z18" s="99"/>
    </row>
    <row r="19">
      <c r="A19" s="134"/>
      <c r="B19" s="147"/>
      <c r="C19" s="136"/>
      <c r="D19" s="136"/>
      <c r="E19" s="127"/>
      <c r="F19" s="135"/>
      <c r="G19" s="148" t="s">
        <v>72</v>
      </c>
      <c r="H19" s="149"/>
      <c r="I19" s="150">
        <f t="shared" ref="I19:T19" si="5">I6*$E$17</f>
        <v>36.9012</v>
      </c>
      <c r="J19" s="150">
        <f t="shared" si="5"/>
        <v>6494.6112</v>
      </c>
      <c r="K19" s="150">
        <f t="shared" si="5"/>
        <v>6199.4016</v>
      </c>
      <c r="L19" s="150">
        <f t="shared" si="5"/>
        <v>6789.8208</v>
      </c>
      <c r="M19" s="150">
        <f t="shared" si="5"/>
        <v>6199.4016</v>
      </c>
      <c r="N19" s="150">
        <f t="shared" si="5"/>
        <v>3406.392</v>
      </c>
      <c r="O19" s="150">
        <f t="shared" si="5"/>
        <v>3561.228</v>
      </c>
      <c r="P19" s="150">
        <f t="shared" si="5"/>
        <v>3096.72</v>
      </c>
      <c r="Q19" s="150">
        <f t="shared" si="5"/>
        <v>3561.228</v>
      </c>
      <c r="R19" s="150">
        <f t="shared" si="5"/>
        <v>3406.392</v>
      </c>
      <c r="S19" s="150">
        <f t="shared" si="5"/>
        <v>3096.72</v>
      </c>
      <c r="T19" s="151">
        <f t="shared" si="5"/>
        <v>3406.392</v>
      </c>
      <c r="V19" s="124" t="s">
        <v>73</v>
      </c>
      <c r="W19" s="146">
        <f t="shared" si="6"/>
        <v>49255.2084</v>
      </c>
      <c r="X19" s="99"/>
      <c r="Y19" s="99"/>
      <c r="Z19" s="99"/>
    </row>
    <row r="20">
      <c r="A20" s="134"/>
      <c r="C20" s="136"/>
      <c r="D20" s="136"/>
      <c r="E20" s="127"/>
      <c r="F20" s="134"/>
      <c r="G20" s="135"/>
      <c r="H20" s="134"/>
      <c r="I20" s="136"/>
      <c r="J20" s="136"/>
      <c r="K20" s="127"/>
      <c r="L20" s="127"/>
      <c r="M20" s="127"/>
      <c r="N20" s="127"/>
      <c r="O20" s="127"/>
      <c r="P20" s="127"/>
      <c r="Q20" s="136"/>
      <c r="R20" s="136"/>
      <c r="S20" s="136"/>
      <c r="T20" s="110"/>
      <c r="V20" s="145" t="s">
        <v>74</v>
      </c>
      <c r="W20" s="152">
        <f>AVERAGE(I21:T21)</f>
        <v>0.16542</v>
      </c>
      <c r="X20" s="99"/>
      <c r="Y20" s="99"/>
      <c r="Z20" s="99"/>
    </row>
    <row r="21">
      <c r="A21" s="134"/>
      <c r="B21" s="134"/>
      <c r="C21" s="136"/>
      <c r="D21" s="136"/>
      <c r="E21" s="127"/>
      <c r="F21" s="135"/>
      <c r="G21" s="135" t="s">
        <v>74</v>
      </c>
      <c r="H21" s="134"/>
      <c r="I21" s="153">
        <f t="shared" ref="I21:T21" si="7">I18/I6</f>
        <v>0.16542</v>
      </c>
      <c r="J21" s="153">
        <f t="shared" si="7"/>
        <v>0.16542</v>
      </c>
      <c r="K21" s="153">
        <f t="shared" si="7"/>
        <v>0.16542</v>
      </c>
      <c r="L21" s="153">
        <f t="shared" si="7"/>
        <v>0.16542</v>
      </c>
      <c r="M21" s="153">
        <f t="shared" si="7"/>
        <v>0.16542</v>
      </c>
      <c r="N21" s="153">
        <f t="shared" si="7"/>
        <v>0.16542</v>
      </c>
      <c r="O21" s="153">
        <f t="shared" si="7"/>
        <v>0.16542</v>
      </c>
      <c r="P21" s="153">
        <f t="shared" si="7"/>
        <v>0.16542</v>
      </c>
      <c r="Q21" s="153">
        <f t="shared" si="7"/>
        <v>0.16542</v>
      </c>
      <c r="R21" s="153">
        <f t="shared" si="7"/>
        <v>0.16542</v>
      </c>
      <c r="S21" s="153">
        <f t="shared" si="7"/>
        <v>0.16542</v>
      </c>
      <c r="T21" s="153">
        <f t="shared" si="7"/>
        <v>0.16542</v>
      </c>
      <c r="V21" s="140"/>
      <c r="W21" s="114"/>
      <c r="X21" s="99"/>
      <c r="Y21" s="99"/>
      <c r="Z21" s="99"/>
    </row>
    <row r="22">
      <c r="A22" s="154"/>
      <c r="B22" s="110" t="s">
        <v>75</v>
      </c>
      <c r="C22" s="155"/>
      <c r="D22" s="155" t="s">
        <v>76</v>
      </c>
      <c r="E22" s="155"/>
      <c r="F22" s="154"/>
      <c r="G22" s="135"/>
      <c r="H22" s="154"/>
      <c r="I22" s="155"/>
      <c r="J22" s="136"/>
      <c r="K22" s="127"/>
      <c r="L22" s="127"/>
      <c r="M22" s="127"/>
      <c r="N22" s="127"/>
      <c r="O22" s="127"/>
      <c r="P22" s="127"/>
      <c r="Q22" s="136"/>
      <c r="R22" s="136"/>
      <c r="S22" s="136"/>
      <c r="T22" s="110"/>
      <c r="V22" s="113"/>
      <c r="W22" s="114"/>
      <c r="X22" s="99"/>
      <c r="Y22" s="99"/>
      <c r="Z22" s="99"/>
    </row>
    <row r="23">
      <c r="A23" s="126"/>
      <c r="B23" s="130" t="s">
        <v>77</v>
      </c>
      <c r="C23" s="156">
        <v>2480.0</v>
      </c>
      <c r="D23" s="157"/>
      <c r="E23" s="129"/>
      <c r="F23" s="126"/>
      <c r="G23" s="132"/>
      <c r="H23" s="126"/>
      <c r="I23" s="110">
        <v>0.0</v>
      </c>
      <c r="J23" s="158">
        <f t="shared" ref="J23:T23" si="8">$C$23</f>
        <v>2480</v>
      </c>
      <c r="K23" s="158">
        <f t="shared" si="8"/>
        <v>2480</v>
      </c>
      <c r="L23" s="158">
        <f t="shared" si="8"/>
        <v>2480</v>
      </c>
      <c r="M23" s="158">
        <f t="shared" si="8"/>
        <v>2480</v>
      </c>
      <c r="N23" s="158">
        <f t="shared" si="8"/>
        <v>2480</v>
      </c>
      <c r="O23" s="158">
        <f t="shared" si="8"/>
        <v>2480</v>
      </c>
      <c r="P23" s="158">
        <f t="shared" si="8"/>
        <v>2480</v>
      </c>
      <c r="Q23" s="158">
        <f t="shared" si="8"/>
        <v>2480</v>
      </c>
      <c r="R23" s="158">
        <f t="shared" si="8"/>
        <v>2480</v>
      </c>
      <c r="S23" s="158">
        <f t="shared" si="8"/>
        <v>2480</v>
      </c>
      <c r="T23" s="158">
        <f t="shared" si="8"/>
        <v>2480</v>
      </c>
      <c r="V23" s="113" t="s">
        <v>78</v>
      </c>
      <c r="W23" s="114">
        <f t="shared" ref="W23:W27" si="11">SUM(I23:T23)</f>
        <v>27280</v>
      </c>
      <c r="X23" s="99"/>
      <c r="Y23" s="99"/>
      <c r="Z23" s="99"/>
    </row>
    <row r="24">
      <c r="A24" s="159"/>
      <c r="B24" s="130" t="s">
        <v>12</v>
      </c>
      <c r="C24" s="156">
        <v>13.72</v>
      </c>
      <c r="D24" s="156">
        <v>14.54</v>
      </c>
      <c r="E24" s="160"/>
      <c r="F24" s="159"/>
      <c r="G24" s="161"/>
      <c r="H24" s="159"/>
      <c r="I24" s="162">
        <f t="shared" ref="I24:M24" si="9">$C$24*I4</f>
        <v>13.72</v>
      </c>
      <c r="J24" s="162">
        <f t="shared" si="9"/>
        <v>2414.72</v>
      </c>
      <c r="K24" s="162">
        <f t="shared" si="9"/>
        <v>2304.96</v>
      </c>
      <c r="L24" s="162">
        <f t="shared" si="9"/>
        <v>2524.48</v>
      </c>
      <c r="M24" s="162">
        <f t="shared" si="9"/>
        <v>2304.96</v>
      </c>
      <c r="N24" s="162">
        <f t="shared" ref="N24:T24" si="10">$D$24*N4</f>
        <v>2559.04</v>
      </c>
      <c r="O24" s="162">
        <f t="shared" si="10"/>
        <v>2675.36</v>
      </c>
      <c r="P24" s="162">
        <f t="shared" si="10"/>
        <v>2326.4</v>
      </c>
      <c r="Q24" s="162">
        <f t="shared" si="10"/>
        <v>2675.36</v>
      </c>
      <c r="R24" s="162">
        <f t="shared" si="10"/>
        <v>2559.04</v>
      </c>
      <c r="S24" s="162">
        <f t="shared" si="10"/>
        <v>2326.4</v>
      </c>
      <c r="T24" s="162">
        <f t="shared" si="10"/>
        <v>2559.04</v>
      </c>
      <c r="V24" s="113" t="s">
        <v>12</v>
      </c>
      <c r="W24" s="146">
        <f t="shared" si="11"/>
        <v>27243.48</v>
      </c>
      <c r="X24" s="137"/>
      <c r="Y24" s="128"/>
      <c r="Z24" s="110"/>
    </row>
    <row r="25">
      <c r="A25" s="98"/>
      <c r="B25" s="130" t="s">
        <v>13</v>
      </c>
      <c r="C25" s="156">
        <v>2.05</v>
      </c>
      <c r="D25" s="156">
        <v>2.1</v>
      </c>
      <c r="E25" s="97"/>
      <c r="F25" s="98"/>
      <c r="G25" s="132"/>
      <c r="H25" s="98"/>
      <c r="I25" s="162">
        <f t="shared" ref="I25:M25" si="12">$C$25*I4</f>
        <v>2.05</v>
      </c>
      <c r="J25" s="162">
        <f t="shared" si="12"/>
        <v>360.8</v>
      </c>
      <c r="K25" s="162">
        <f t="shared" si="12"/>
        <v>344.4</v>
      </c>
      <c r="L25" s="162">
        <f t="shared" si="12"/>
        <v>377.2</v>
      </c>
      <c r="M25" s="162">
        <f t="shared" si="12"/>
        <v>344.4</v>
      </c>
      <c r="N25" s="162">
        <f t="shared" ref="N25:T25" si="13">$D$25*N4</f>
        <v>369.6</v>
      </c>
      <c r="O25" s="162">
        <f t="shared" si="13"/>
        <v>386.4</v>
      </c>
      <c r="P25" s="162">
        <f t="shared" si="13"/>
        <v>336</v>
      </c>
      <c r="Q25" s="162">
        <f t="shared" si="13"/>
        <v>386.4</v>
      </c>
      <c r="R25" s="162">
        <f t="shared" si="13"/>
        <v>369.6</v>
      </c>
      <c r="S25" s="162">
        <f t="shared" si="13"/>
        <v>336</v>
      </c>
      <c r="T25" s="162">
        <f t="shared" si="13"/>
        <v>369.6</v>
      </c>
      <c r="V25" s="113" t="s">
        <v>13</v>
      </c>
      <c r="W25" s="146">
        <f t="shared" si="11"/>
        <v>3982.45</v>
      </c>
      <c r="X25" s="99"/>
      <c r="Y25" s="99"/>
      <c r="Z25" s="99"/>
    </row>
    <row r="26">
      <c r="A26" s="98"/>
      <c r="B26" s="130" t="s">
        <v>79</v>
      </c>
      <c r="C26" s="156">
        <v>1115.0</v>
      </c>
      <c r="D26" s="136"/>
      <c r="E26" s="97"/>
      <c r="F26" s="98"/>
      <c r="G26" s="132"/>
      <c r="H26" s="98"/>
      <c r="I26" s="97"/>
      <c r="J26" s="97"/>
      <c r="K26" s="97"/>
      <c r="L26" s="97"/>
      <c r="M26" s="97"/>
      <c r="N26" s="97"/>
      <c r="O26" s="97"/>
      <c r="P26" s="97"/>
      <c r="Q26" s="97"/>
      <c r="R26" s="162">
        <f t="shared" ref="R26:R27" si="14">SUM(C26)</f>
        <v>1115</v>
      </c>
      <c r="S26" s="97"/>
      <c r="T26" s="97"/>
      <c r="V26" s="113" t="s">
        <v>14</v>
      </c>
      <c r="W26" s="114">
        <f t="shared" si="11"/>
        <v>1115</v>
      </c>
      <c r="X26" s="163"/>
      <c r="Y26" s="163"/>
      <c r="Z26" s="163"/>
    </row>
    <row r="27">
      <c r="A27" s="164"/>
      <c r="B27" s="130" t="s">
        <v>15</v>
      </c>
      <c r="C27" s="156">
        <v>104.0</v>
      </c>
      <c r="D27" s="136"/>
      <c r="E27" s="165"/>
      <c r="F27" s="164"/>
      <c r="G27" s="166"/>
      <c r="H27" s="164"/>
      <c r="I27" s="97"/>
      <c r="J27" s="165"/>
      <c r="K27" s="165"/>
      <c r="L27" s="165"/>
      <c r="M27" s="165"/>
      <c r="N27" s="165"/>
      <c r="O27" s="165"/>
      <c r="P27" s="165"/>
      <c r="Q27" s="165"/>
      <c r="R27" s="162">
        <f t="shared" si="14"/>
        <v>104</v>
      </c>
      <c r="S27" s="165"/>
      <c r="T27" s="165"/>
      <c r="V27" s="113" t="s">
        <v>15</v>
      </c>
      <c r="W27" s="114">
        <f t="shared" si="11"/>
        <v>104</v>
      </c>
      <c r="X27" s="99"/>
      <c r="Y27" s="99"/>
      <c r="Z27" s="99"/>
    </row>
    <row r="28">
      <c r="A28" s="164"/>
      <c r="B28" s="130"/>
      <c r="C28" s="136"/>
      <c r="D28" s="136"/>
      <c r="E28" s="153"/>
      <c r="F28" s="164"/>
      <c r="G28" s="166"/>
      <c r="H28" s="164"/>
      <c r="I28" s="136" t="str">
        <f t="shared" ref="I28:T28" si="15">$C$28</f>
        <v/>
      </c>
      <c r="J28" s="136" t="str">
        <f t="shared" si="15"/>
        <v/>
      </c>
      <c r="K28" s="136" t="str">
        <f t="shared" si="15"/>
        <v/>
      </c>
      <c r="L28" s="136" t="str">
        <f t="shared" si="15"/>
        <v/>
      </c>
      <c r="M28" s="136" t="str">
        <f t="shared" si="15"/>
        <v/>
      </c>
      <c r="N28" s="136" t="str">
        <f t="shared" si="15"/>
        <v/>
      </c>
      <c r="O28" s="136" t="str">
        <f t="shared" si="15"/>
        <v/>
      </c>
      <c r="P28" s="136" t="str">
        <f t="shared" si="15"/>
        <v/>
      </c>
      <c r="Q28" s="136" t="str">
        <f t="shared" si="15"/>
        <v/>
      </c>
      <c r="R28" s="136" t="str">
        <f t="shared" si="15"/>
        <v/>
      </c>
      <c r="S28" s="136" t="str">
        <f t="shared" si="15"/>
        <v/>
      </c>
      <c r="T28" s="136" t="str">
        <f t="shared" si="15"/>
        <v/>
      </c>
      <c r="V28" s="113"/>
      <c r="W28" s="114"/>
      <c r="X28" s="99"/>
      <c r="Y28" s="99"/>
      <c r="Z28" s="99"/>
    </row>
    <row r="29">
      <c r="A29" s="142"/>
      <c r="B29" s="167" t="s">
        <v>80</v>
      </c>
      <c r="D29" s="136"/>
      <c r="E29" s="168"/>
      <c r="F29" s="142"/>
      <c r="G29" s="109"/>
      <c r="H29" s="142"/>
      <c r="V29" s="133"/>
      <c r="W29" s="114"/>
      <c r="X29" s="137"/>
      <c r="Y29" s="128"/>
      <c r="Z29" s="110"/>
    </row>
    <row r="30">
      <c r="A30" s="142"/>
      <c r="C30" s="144"/>
      <c r="D30" s="144"/>
      <c r="E30" s="127"/>
      <c r="F30" s="109"/>
      <c r="G30" s="169" t="s">
        <v>81</v>
      </c>
      <c r="H30" s="170"/>
      <c r="I30" s="150">
        <f t="shared" ref="I30:T30" si="16">SUM(I23:I27)+$E$29</f>
        <v>15.77</v>
      </c>
      <c r="J30" s="150">
        <f t="shared" si="16"/>
        <v>5255.52</v>
      </c>
      <c r="K30" s="150">
        <f t="shared" si="16"/>
        <v>5129.36</v>
      </c>
      <c r="L30" s="150">
        <f t="shared" si="16"/>
        <v>5381.68</v>
      </c>
      <c r="M30" s="150">
        <f t="shared" si="16"/>
        <v>5129.36</v>
      </c>
      <c r="N30" s="150">
        <f t="shared" si="16"/>
        <v>5408.64</v>
      </c>
      <c r="O30" s="150">
        <f t="shared" si="16"/>
        <v>5541.76</v>
      </c>
      <c r="P30" s="150">
        <f t="shared" si="16"/>
        <v>5142.4</v>
      </c>
      <c r="Q30" s="150">
        <f t="shared" si="16"/>
        <v>5541.76</v>
      </c>
      <c r="R30" s="150">
        <f t="shared" si="16"/>
        <v>6627.64</v>
      </c>
      <c r="S30" s="150">
        <f t="shared" si="16"/>
        <v>5142.4</v>
      </c>
      <c r="T30" s="150">
        <f t="shared" si="16"/>
        <v>5408.64</v>
      </c>
      <c r="V30" s="124" t="s">
        <v>82</v>
      </c>
      <c r="W30" s="114">
        <f>SUM(W23:W28)</f>
        <v>59724.93</v>
      </c>
      <c r="X30" s="137"/>
      <c r="Y30" s="128"/>
      <c r="Z30" s="110"/>
    </row>
    <row r="31">
      <c r="A31" s="142"/>
      <c r="B31" s="142" t="s">
        <v>83</v>
      </c>
      <c r="C31" s="144"/>
      <c r="D31" s="144"/>
      <c r="E31" s="144"/>
      <c r="F31" s="142"/>
      <c r="G31" s="109"/>
      <c r="H31" s="142"/>
      <c r="I31" s="144">
        <v>0.0</v>
      </c>
      <c r="J31" s="144"/>
      <c r="K31" s="144"/>
      <c r="L31" s="144"/>
      <c r="M31" s="144"/>
      <c r="N31" s="144"/>
      <c r="O31" s="144"/>
      <c r="P31" s="144"/>
      <c r="Q31" s="144"/>
      <c r="R31" s="144"/>
      <c r="S31" s="144"/>
      <c r="T31" s="144"/>
      <c r="V31" s="133"/>
      <c r="W31" s="114">
        <f t="shared" ref="W31:W32" si="17">SUM(I31:T31)</f>
        <v>0</v>
      </c>
      <c r="X31" s="137"/>
      <c r="Y31" s="128"/>
      <c r="Z31" s="110"/>
    </row>
    <row r="32">
      <c r="A32" s="142"/>
      <c r="B32" s="142" t="s">
        <v>84</v>
      </c>
      <c r="C32" s="144"/>
      <c r="D32" s="144"/>
      <c r="E32" s="144"/>
      <c r="F32" s="142"/>
      <c r="G32" s="109"/>
      <c r="H32" s="142"/>
      <c r="I32" s="136">
        <v>0.0</v>
      </c>
      <c r="J32" s="136">
        <v>1500.0</v>
      </c>
      <c r="K32" s="136">
        <v>1500.0</v>
      </c>
      <c r="L32" s="136">
        <v>1500.0</v>
      </c>
      <c r="M32" s="136">
        <v>1500.0</v>
      </c>
      <c r="N32" s="136">
        <v>1500.0</v>
      </c>
      <c r="O32" s="136">
        <v>1500.0</v>
      </c>
      <c r="P32" s="136">
        <v>1500.0</v>
      </c>
      <c r="Q32" s="136">
        <v>1500.0</v>
      </c>
      <c r="R32" s="136">
        <v>1500.0</v>
      </c>
      <c r="S32" s="136">
        <v>1500.0</v>
      </c>
      <c r="T32" s="136">
        <v>1500.0</v>
      </c>
      <c r="V32" s="133"/>
      <c r="W32" s="146">
        <f t="shared" si="17"/>
        <v>16500</v>
      </c>
      <c r="X32" s="137"/>
      <c r="Y32" s="128"/>
      <c r="Z32" s="110"/>
    </row>
    <row r="33">
      <c r="A33" s="142"/>
      <c r="B33" s="142" t="s">
        <v>85</v>
      </c>
      <c r="C33" s="144"/>
      <c r="D33" s="144"/>
      <c r="E33" s="144"/>
      <c r="F33" s="142"/>
      <c r="G33" s="109"/>
      <c r="H33" s="142"/>
      <c r="I33" s="144"/>
      <c r="J33" s="144"/>
      <c r="K33" s="144"/>
      <c r="L33" s="144"/>
      <c r="M33" s="144"/>
      <c r="N33" s="144"/>
      <c r="O33" s="144"/>
      <c r="P33" s="144"/>
      <c r="Q33" s="144"/>
      <c r="R33" s="144"/>
      <c r="S33" s="144"/>
      <c r="T33" s="144"/>
      <c r="V33" s="133"/>
      <c r="W33" s="114"/>
      <c r="X33" s="137"/>
      <c r="Y33" s="128"/>
      <c r="Z33" s="110"/>
    </row>
    <row r="34">
      <c r="A34" s="142"/>
      <c r="B34" s="142" t="s">
        <v>86</v>
      </c>
      <c r="C34" s="144"/>
      <c r="D34" s="144"/>
      <c r="E34" s="144"/>
      <c r="F34" s="142"/>
      <c r="G34" s="109"/>
      <c r="H34" s="142"/>
      <c r="I34" s="144"/>
      <c r="J34" s="144"/>
      <c r="K34" s="144"/>
      <c r="L34" s="144"/>
      <c r="M34" s="144"/>
      <c r="N34" s="144"/>
      <c r="O34" s="144"/>
      <c r="P34" s="144"/>
      <c r="Q34" s="144"/>
      <c r="R34" s="144"/>
      <c r="S34" s="144"/>
      <c r="T34" s="144"/>
      <c r="V34" s="133"/>
      <c r="W34" s="114"/>
      <c r="X34" s="137"/>
      <c r="Y34" s="128"/>
      <c r="Z34" s="110"/>
    </row>
    <row r="35">
      <c r="A35" s="142"/>
      <c r="B35" s="142"/>
      <c r="C35" s="144"/>
      <c r="D35" s="144"/>
      <c r="E35" s="144"/>
      <c r="F35" s="142"/>
      <c r="G35" s="109"/>
      <c r="H35" s="142"/>
      <c r="I35" s="144"/>
      <c r="J35" s="144"/>
      <c r="K35" s="144"/>
      <c r="L35" s="144"/>
      <c r="M35" s="144"/>
      <c r="N35" s="144"/>
      <c r="O35" s="144"/>
      <c r="P35" s="144"/>
      <c r="Q35" s="144"/>
      <c r="R35" s="144"/>
      <c r="S35" s="144"/>
      <c r="T35" s="144"/>
      <c r="V35" s="133"/>
      <c r="W35" s="114"/>
      <c r="X35" s="137"/>
      <c r="Y35" s="128"/>
      <c r="Z35" s="110"/>
    </row>
    <row r="36">
      <c r="A36" s="142"/>
      <c r="B36" s="142" t="s">
        <v>87</v>
      </c>
      <c r="C36" s="144"/>
      <c r="D36" s="144"/>
      <c r="E36" s="144"/>
      <c r="F36" s="142"/>
      <c r="G36" s="169" t="s">
        <v>88</v>
      </c>
      <c r="H36" s="170"/>
      <c r="I36" s="171">
        <f t="shared" ref="I36:T36" si="18">SUM(I31:I35)</f>
        <v>0</v>
      </c>
      <c r="J36" s="150">
        <f t="shared" si="18"/>
        <v>1500</v>
      </c>
      <c r="K36" s="150">
        <f t="shared" si="18"/>
        <v>1500</v>
      </c>
      <c r="L36" s="150">
        <f t="shared" si="18"/>
        <v>1500</v>
      </c>
      <c r="M36" s="150">
        <f t="shared" si="18"/>
        <v>1500</v>
      </c>
      <c r="N36" s="150">
        <f t="shared" si="18"/>
        <v>1500</v>
      </c>
      <c r="O36" s="150">
        <f t="shared" si="18"/>
        <v>1500</v>
      </c>
      <c r="P36" s="150">
        <f t="shared" si="18"/>
        <v>1500</v>
      </c>
      <c r="Q36" s="150">
        <f t="shared" si="18"/>
        <v>1500</v>
      </c>
      <c r="R36" s="150">
        <f t="shared" si="18"/>
        <v>1500</v>
      </c>
      <c r="S36" s="150">
        <f t="shared" si="18"/>
        <v>1500</v>
      </c>
      <c r="T36" s="150">
        <f t="shared" si="18"/>
        <v>1500</v>
      </c>
      <c r="V36" s="133" t="s">
        <v>89</v>
      </c>
      <c r="W36" s="114">
        <f>SUM(I36:T36)</f>
        <v>16500</v>
      </c>
      <c r="X36" s="137"/>
      <c r="Y36" s="128"/>
      <c r="Z36" s="110"/>
    </row>
    <row r="37">
      <c r="A37" s="142"/>
      <c r="B37" s="142"/>
      <c r="C37" s="144"/>
      <c r="D37" s="144"/>
      <c r="E37" s="144"/>
      <c r="F37" s="142"/>
      <c r="G37" s="109"/>
      <c r="H37" s="142"/>
      <c r="I37" s="144"/>
      <c r="J37" s="144"/>
      <c r="K37" s="144"/>
      <c r="L37" s="144"/>
      <c r="M37" s="144"/>
      <c r="N37" s="144"/>
      <c r="O37" s="144"/>
      <c r="P37" s="144"/>
      <c r="Q37" s="144"/>
      <c r="R37" s="144"/>
      <c r="S37" s="144"/>
      <c r="T37" s="144"/>
      <c r="V37" s="133"/>
      <c r="W37" s="114"/>
      <c r="X37" s="137"/>
      <c r="Y37" s="128"/>
      <c r="Z37" s="110"/>
    </row>
    <row r="38">
      <c r="A38" s="142"/>
      <c r="B38" s="109" t="s">
        <v>90</v>
      </c>
      <c r="C38" s="172">
        <v>0.037</v>
      </c>
      <c r="D38" s="153"/>
      <c r="E38" s="144"/>
      <c r="F38" s="142"/>
      <c r="G38" s="169" t="s">
        <v>90</v>
      </c>
      <c r="H38" s="170"/>
      <c r="I38" s="171"/>
      <c r="J38" s="171"/>
      <c r="K38" s="171"/>
      <c r="L38" s="171"/>
      <c r="M38" s="171"/>
      <c r="N38" s="171"/>
      <c r="O38" s="171"/>
      <c r="P38" s="171"/>
      <c r="Q38" s="171"/>
      <c r="R38" s="171"/>
      <c r="S38" s="171"/>
      <c r="T38" s="173"/>
      <c r="V38" s="113" t="s">
        <v>90</v>
      </c>
      <c r="W38" s="114">
        <f>SUM(I38:T38)</f>
        <v>0</v>
      </c>
      <c r="X38" s="137"/>
      <c r="Y38" s="128"/>
      <c r="Z38" s="110"/>
    </row>
    <row r="39">
      <c r="A39" s="142"/>
      <c r="B39" s="142"/>
      <c r="C39" s="144"/>
      <c r="D39" s="144"/>
      <c r="E39" s="144"/>
      <c r="F39" s="142"/>
      <c r="G39" s="109"/>
      <c r="H39" s="142"/>
      <c r="I39" s="144"/>
      <c r="J39" s="144"/>
      <c r="K39" s="144"/>
      <c r="L39" s="144"/>
      <c r="M39" s="144"/>
      <c r="N39" s="144"/>
      <c r="O39" s="144"/>
      <c r="P39" s="144"/>
      <c r="Q39" s="144"/>
      <c r="R39" s="144"/>
      <c r="S39" s="144"/>
      <c r="T39" s="144"/>
      <c r="V39" s="133"/>
      <c r="W39" s="114"/>
      <c r="X39" s="137"/>
      <c r="Y39" s="128"/>
      <c r="Z39" s="110"/>
    </row>
    <row r="40">
      <c r="A40" s="135"/>
      <c r="B40" s="135" t="s">
        <v>17</v>
      </c>
      <c r="C40" s="156">
        <v>125.0</v>
      </c>
      <c r="D40" s="136"/>
      <c r="E40" s="143">
        <v>0.2</v>
      </c>
      <c r="F40" s="135"/>
      <c r="G40" s="135"/>
      <c r="H40" s="135"/>
      <c r="I40" s="155">
        <v>0.0</v>
      </c>
      <c r="J40" s="155">
        <f t="shared" ref="J40:T40" si="19">$C$40*(1+$E$40)</f>
        <v>150</v>
      </c>
      <c r="K40" s="155">
        <f t="shared" si="19"/>
        <v>150</v>
      </c>
      <c r="L40" s="155">
        <f t="shared" si="19"/>
        <v>150</v>
      </c>
      <c r="M40" s="155">
        <f t="shared" si="19"/>
        <v>150</v>
      </c>
      <c r="N40" s="155">
        <f t="shared" si="19"/>
        <v>150</v>
      </c>
      <c r="O40" s="155">
        <f t="shared" si="19"/>
        <v>150</v>
      </c>
      <c r="P40" s="155">
        <f t="shared" si="19"/>
        <v>150</v>
      </c>
      <c r="Q40" s="155">
        <f t="shared" si="19"/>
        <v>150</v>
      </c>
      <c r="R40" s="155">
        <f t="shared" si="19"/>
        <v>150</v>
      </c>
      <c r="S40" s="155">
        <f t="shared" si="19"/>
        <v>150</v>
      </c>
      <c r="T40" s="155">
        <f t="shared" si="19"/>
        <v>150</v>
      </c>
      <c r="V40" s="145" t="s">
        <v>91</v>
      </c>
      <c r="W40" s="146">
        <f t="shared" ref="W40:W41" si="21">SUM(I40:T40)</f>
        <v>1650</v>
      </c>
      <c r="X40" s="137"/>
      <c r="Y40" s="128"/>
      <c r="Z40" s="110"/>
    </row>
    <row r="41">
      <c r="A41" s="136"/>
      <c r="B41" s="135" t="s">
        <v>92</v>
      </c>
      <c r="C41" s="156">
        <v>90.0</v>
      </c>
      <c r="D41" s="136"/>
      <c r="E41" s="143">
        <v>0.05</v>
      </c>
      <c r="F41" s="136"/>
      <c r="G41" s="135"/>
      <c r="H41" s="136"/>
      <c r="I41" s="155">
        <v>0.0</v>
      </c>
      <c r="J41" s="155">
        <f t="shared" ref="J41:T41" si="20">$C$41*(1+$E$41)</f>
        <v>94.5</v>
      </c>
      <c r="K41" s="155">
        <f t="shared" si="20"/>
        <v>94.5</v>
      </c>
      <c r="L41" s="155">
        <f t="shared" si="20"/>
        <v>94.5</v>
      </c>
      <c r="M41" s="155">
        <f t="shared" si="20"/>
        <v>94.5</v>
      </c>
      <c r="N41" s="155">
        <f t="shared" si="20"/>
        <v>94.5</v>
      </c>
      <c r="O41" s="155">
        <f t="shared" si="20"/>
        <v>94.5</v>
      </c>
      <c r="P41" s="155">
        <f t="shared" si="20"/>
        <v>94.5</v>
      </c>
      <c r="Q41" s="155">
        <f t="shared" si="20"/>
        <v>94.5</v>
      </c>
      <c r="R41" s="155">
        <f t="shared" si="20"/>
        <v>94.5</v>
      </c>
      <c r="S41" s="155">
        <f t="shared" si="20"/>
        <v>94.5</v>
      </c>
      <c r="T41" s="155">
        <f t="shared" si="20"/>
        <v>94.5</v>
      </c>
      <c r="V41" s="145" t="s">
        <v>93</v>
      </c>
      <c r="W41" s="146">
        <f t="shared" si="21"/>
        <v>1039.5</v>
      </c>
      <c r="X41" s="137"/>
      <c r="Y41" s="128"/>
      <c r="Z41" s="110"/>
    </row>
    <row r="42">
      <c r="A42" s="136"/>
      <c r="B42" s="174" t="s">
        <v>94</v>
      </c>
      <c r="C42" s="156">
        <v>59.52</v>
      </c>
      <c r="D42" s="136"/>
      <c r="E42" s="175"/>
      <c r="F42" s="136"/>
      <c r="G42" s="135"/>
      <c r="H42" s="136"/>
      <c r="I42" s="155"/>
      <c r="J42" s="155"/>
      <c r="K42" s="155"/>
      <c r="L42" s="155"/>
      <c r="M42" s="155"/>
      <c r="N42" s="155"/>
      <c r="O42" s="155"/>
      <c r="P42" s="155"/>
      <c r="Q42" s="155"/>
      <c r="R42" s="155"/>
      <c r="S42" s="155"/>
      <c r="T42" s="155"/>
      <c r="V42" s="145"/>
      <c r="W42" s="114"/>
      <c r="X42" s="137"/>
      <c r="Y42" s="128"/>
      <c r="Z42" s="110"/>
    </row>
    <row r="43">
      <c r="A43" s="136"/>
      <c r="B43" s="174" t="s">
        <v>95</v>
      </c>
      <c r="C43" s="156">
        <v>16.39</v>
      </c>
      <c r="D43" s="136"/>
      <c r="E43" s="175"/>
      <c r="F43" s="136"/>
      <c r="G43" s="135"/>
      <c r="H43" s="136"/>
      <c r="I43" s="155"/>
      <c r="J43" s="155"/>
      <c r="K43" s="155"/>
      <c r="L43" s="155"/>
      <c r="M43" s="155"/>
      <c r="N43" s="155"/>
      <c r="O43" s="155"/>
      <c r="P43" s="155"/>
      <c r="Q43" s="155"/>
      <c r="R43" s="155"/>
      <c r="S43" s="155"/>
      <c r="T43" s="155"/>
      <c r="V43" s="145"/>
      <c r="W43" s="114"/>
      <c r="X43" s="137"/>
      <c r="Y43" s="128"/>
      <c r="Z43" s="110"/>
    </row>
    <row r="44">
      <c r="A44" s="136"/>
      <c r="B44" s="135" t="s">
        <v>96</v>
      </c>
      <c r="C44" s="136">
        <f>SUM(C42:C43)</f>
        <v>75.91</v>
      </c>
      <c r="D44" s="136"/>
      <c r="E44" s="143">
        <v>0.1</v>
      </c>
      <c r="F44" s="136"/>
      <c r="G44" s="135"/>
      <c r="H44" s="136"/>
      <c r="I44" s="155">
        <v>0.0</v>
      </c>
      <c r="J44" s="155">
        <f t="shared" ref="J44:T44" si="22">$C$44*(1+$E$44)</f>
        <v>83.501</v>
      </c>
      <c r="K44" s="155">
        <f t="shared" si="22"/>
        <v>83.501</v>
      </c>
      <c r="L44" s="155">
        <f t="shared" si="22"/>
        <v>83.501</v>
      </c>
      <c r="M44" s="155">
        <f t="shared" si="22"/>
        <v>83.501</v>
      </c>
      <c r="N44" s="155">
        <f t="shared" si="22"/>
        <v>83.501</v>
      </c>
      <c r="O44" s="155">
        <f t="shared" si="22"/>
        <v>83.501</v>
      </c>
      <c r="P44" s="155">
        <f t="shared" si="22"/>
        <v>83.501</v>
      </c>
      <c r="Q44" s="155">
        <f t="shared" si="22"/>
        <v>83.501</v>
      </c>
      <c r="R44" s="155">
        <f t="shared" si="22"/>
        <v>83.501</v>
      </c>
      <c r="S44" s="155">
        <f t="shared" si="22"/>
        <v>83.501</v>
      </c>
      <c r="T44" s="155">
        <f t="shared" si="22"/>
        <v>83.501</v>
      </c>
      <c r="V44" s="145" t="s">
        <v>97</v>
      </c>
      <c r="W44" s="146">
        <f>SUM(I44:T44)</f>
        <v>918.511</v>
      </c>
      <c r="X44" s="137"/>
      <c r="Y44" s="128"/>
      <c r="Z44" s="110"/>
    </row>
    <row r="45">
      <c r="A45" s="109"/>
      <c r="B45" s="176" t="s">
        <v>98</v>
      </c>
      <c r="C45" s="156">
        <v>14.4</v>
      </c>
      <c r="D45" s="136"/>
      <c r="E45" s="175"/>
      <c r="F45" s="109"/>
      <c r="G45" s="109"/>
      <c r="H45" s="109"/>
      <c r="I45" s="155"/>
      <c r="J45" s="155"/>
      <c r="K45" s="155"/>
      <c r="L45" s="155"/>
      <c r="M45" s="155"/>
      <c r="N45" s="155"/>
      <c r="O45" s="155"/>
      <c r="P45" s="155"/>
      <c r="Q45" s="155"/>
      <c r="R45" s="155"/>
      <c r="S45" s="155"/>
      <c r="T45" s="155"/>
      <c r="V45" s="113"/>
      <c r="W45" s="114"/>
      <c r="X45" s="137"/>
      <c r="Y45" s="128"/>
      <c r="Z45" s="110"/>
    </row>
    <row r="46">
      <c r="A46" s="109"/>
      <c r="B46" s="176" t="s">
        <v>99</v>
      </c>
      <c r="C46" s="156">
        <v>12.67</v>
      </c>
      <c r="D46" s="136"/>
      <c r="E46" s="175"/>
      <c r="F46" s="109"/>
      <c r="G46" s="109"/>
      <c r="H46" s="109"/>
      <c r="I46" s="155"/>
      <c r="J46" s="155"/>
      <c r="K46" s="155"/>
      <c r="L46" s="155"/>
      <c r="M46" s="155"/>
      <c r="N46" s="155"/>
      <c r="O46" s="155"/>
      <c r="P46" s="155"/>
      <c r="Q46" s="155"/>
      <c r="R46" s="155"/>
      <c r="S46" s="155"/>
      <c r="T46" s="155"/>
      <c r="V46" s="113"/>
      <c r="W46" s="114"/>
      <c r="X46" s="137"/>
      <c r="Y46" s="128"/>
      <c r="Z46" s="110"/>
    </row>
    <row r="47">
      <c r="A47" s="109"/>
      <c r="B47" s="176" t="s">
        <v>100</v>
      </c>
      <c r="C47" s="156">
        <v>36.43</v>
      </c>
      <c r="D47" s="136"/>
      <c r="E47" s="175"/>
      <c r="F47" s="109"/>
      <c r="G47" s="109"/>
      <c r="H47" s="109"/>
      <c r="I47" s="155"/>
      <c r="J47" s="155"/>
      <c r="K47" s="155"/>
      <c r="L47" s="155"/>
      <c r="M47" s="155"/>
      <c r="N47" s="155"/>
      <c r="O47" s="155"/>
      <c r="P47" s="155"/>
      <c r="Q47" s="155"/>
      <c r="R47" s="155"/>
      <c r="S47" s="155"/>
      <c r="T47" s="155"/>
      <c r="V47" s="113"/>
      <c r="W47" s="114"/>
      <c r="X47" s="137"/>
      <c r="Y47" s="128"/>
      <c r="Z47" s="110"/>
    </row>
    <row r="48">
      <c r="A48" s="109"/>
      <c r="B48" s="109" t="s">
        <v>19</v>
      </c>
      <c r="C48" s="155">
        <f>SUM(C45:C47)</f>
        <v>63.5</v>
      </c>
      <c r="D48" s="155"/>
      <c r="E48" s="143">
        <v>0.1</v>
      </c>
      <c r="F48" s="109"/>
      <c r="G48" s="109"/>
      <c r="H48" s="109"/>
      <c r="I48" s="155">
        <v>0.0</v>
      </c>
      <c r="J48" s="155">
        <f t="shared" ref="J48:T48" si="23">$C$48*(1+$E$48)</f>
        <v>69.85</v>
      </c>
      <c r="K48" s="155">
        <f t="shared" si="23"/>
        <v>69.85</v>
      </c>
      <c r="L48" s="155">
        <f t="shared" si="23"/>
        <v>69.85</v>
      </c>
      <c r="M48" s="155">
        <f t="shared" si="23"/>
        <v>69.85</v>
      </c>
      <c r="N48" s="155">
        <f t="shared" si="23"/>
        <v>69.85</v>
      </c>
      <c r="O48" s="155">
        <f t="shared" si="23"/>
        <v>69.85</v>
      </c>
      <c r="P48" s="155">
        <f t="shared" si="23"/>
        <v>69.85</v>
      </c>
      <c r="Q48" s="155">
        <f t="shared" si="23"/>
        <v>69.85</v>
      </c>
      <c r="R48" s="155">
        <f t="shared" si="23"/>
        <v>69.85</v>
      </c>
      <c r="S48" s="155">
        <f t="shared" si="23"/>
        <v>69.85</v>
      </c>
      <c r="T48" s="155">
        <f t="shared" si="23"/>
        <v>69.85</v>
      </c>
      <c r="V48" s="113" t="s">
        <v>101</v>
      </c>
      <c r="W48" s="146">
        <f t="shared" ref="W48:W49" si="25">SUM(I48:T48)</f>
        <v>768.35</v>
      </c>
      <c r="X48" s="137"/>
      <c r="Y48" s="128"/>
      <c r="Z48" s="110"/>
    </row>
    <row r="49">
      <c r="A49" s="142"/>
      <c r="B49" s="109" t="s">
        <v>102</v>
      </c>
      <c r="C49" s="156">
        <v>0.0</v>
      </c>
      <c r="D49" s="136"/>
      <c r="E49" s="143">
        <v>0.1</v>
      </c>
      <c r="F49" s="142"/>
      <c r="G49" s="109"/>
      <c r="H49" s="142"/>
      <c r="I49" s="155">
        <f t="shared" ref="I49:T49" si="24">$C$49*(1+$E$49)</f>
        <v>0</v>
      </c>
      <c r="J49" s="155">
        <f t="shared" si="24"/>
        <v>0</v>
      </c>
      <c r="K49" s="155">
        <f t="shared" si="24"/>
        <v>0</v>
      </c>
      <c r="L49" s="155">
        <f t="shared" si="24"/>
        <v>0</v>
      </c>
      <c r="M49" s="155">
        <f t="shared" si="24"/>
        <v>0</v>
      </c>
      <c r="N49" s="155">
        <f t="shared" si="24"/>
        <v>0</v>
      </c>
      <c r="O49" s="155">
        <f t="shared" si="24"/>
        <v>0</v>
      </c>
      <c r="P49" s="155">
        <f t="shared" si="24"/>
        <v>0</v>
      </c>
      <c r="Q49" s="155">
        <f t="shared" si="24"/>
        <v>0</v>
      </c>
      <c r="R49" s="155">
        <f t="shared" si="24"/>
        <v>0</v>
      </c>
      <c r="S49" s="155">
        <f t="shared" si="24"/>
        <v>0</v>
      </c>
      <c r="T49" s="155">
        <f t="shared" si="24"/>
        <v>0</v>
      </c>
      <c r="V49" s="113" t="s">
        <v>103</v>
      </c>
      <c r="W49" s="146">
        <f t="shared" si="25"/>
        <v>0</v>
      </c>
      <c r="X49" s="137"/>
      <c r="Y49" s="128"/>
      <c r="Z49" s="110"/>
    </row>
    <row r="50">
      <c r="A50" s="109"/>
      <c r="B50" s="177"/>
      <c r="E50" s="127"/>
      <c r="F50" s="109"/>
      <c r="G50" s="109"/>
      <c r="H50" s="109"/>
      <c r="I50" s="110"/>
      <c r="J50" s="110"/>
      <c r="K50" s="110"/>
      <c r="L50" s="110"/>
      <c r="M50" s="110"/>
      <c r="N50" s="110"/>
      <c r="O50" s="110"/>
      <c r="P50" s="110"/>
      <c r="Q50" s="110"/>
      <c r="R50" s="110"/>
      <c r="S50" s="110"/>
      <c r="T50" s="110"/>
      <c r="V50" s="133"/>
      <c r="W50" s="114"/>
      <c r="X50" s="137"/>
      <c r="Y50" s="128"/>
      <c r="Z50" s="110"/>
    </row>
    <row r="51">
      <c r="A51" s="109"/>
      <c r="B51" s="177"/>
      <c r="C51" s="94">
        <f>SUM(C40,C41,C44,C48,C49)</f>
        <v>354.41</v>
      </c>
      <c r="D51" s="95" t="s">
        <v>104</v>
      </c>
      <c r="E51" s="178">
        <f>SUM(I52-C51)</f>
        <v>-354.41</v>
      </c>
      <c r="F51" s="109"/>
      <c r="G51" s="109" t="s">
        <v>105</v>
      </c>
      <c r="H51" s="109"/>
      <c r="I51" s="110">
        <v>0.0</v>
      </c>
      <c r="J51" s="155">
        <f t="shared" ref="J51:T51" si="26">SUM($C$40,$C$41,$C$44,$C$48,$C$49)</f>
        <v>354.41</v>
      </c>
      <c r="K51" s="155">
        <f t="shared" si="26"/>
        <v>354.41</v>
      </c>
      <c r="L51" s="155">
        <f t="shared" si="26"/>
        <v>354.41</v>
      </c>
      <c r="M51" s="155">
        <f t="shared" si="26"/>
        <v>354.41</v>
      </c>
      <c r="N51" s="155">
        <f t="shared" si="26"/>
        <v>354.41</v>
      </c>
      <c r="O51" s="155">
        <f t="shared" si="26"/>
        <v>354.41</v>
      </c>
      <c r="P51" s="155">
        <f t="shared" si="26"/>
        <v>354.41</v>
      </c>
      <c r="Q51" s="155">
        <f t="shared" si="26"/>
        <v>354.41</v>
      </c>
      <c r="R51" s="155">
        <f t="shared" si="26"/>
        <v>354.41</v>
      </c>
      <c r="S51" s="155">
        <f t="shared" si="26"/>
        <v>354.41</v>
      </c>
      <c r="T51" s="155">
        <f t="shared" si="26"/>
        <v>354.41</v>
      </c>
      <c r="V51" s="133"/>
      <c r="W51" s="114"/>
      <c r="X51" s="137"/>
      <c r="Y51" s="128"/>
      <c r="Z51" s="110"/>
    </row>
    <row r="52">
      <c r="A52" s="109"/>
      <c r="E52" s="127"/>
      <c r="F52" s="177"/>
      <c r="G52" s="179" t="s">
        <v>106</v>
      </c>
      <c r="H52" s="180"/>
      <c r="I52" s="181">
        <f t="shared" ref="I52:T52" si="27">SUM(I40:I49)</f>
        <v>0</v>
      </c>
      <c r="J52" s="181">
        <f t="shared" si="27"/>
        <v>397.851</v>
      </c>
      <c r="K52" s="181">
        <f t="shared" si="27"/>
        <v>397.851</v>
      </c>
      <c r="L52" s="181">
        <f t="shared" si="27"/>
        <v>397.851</v>
      </c>
      <c r="M52" s="181">
        <f t="shared" si="27"/>
        <v>397.851</v>
      </c>
      <c r="N52" s="181">
        <f t="shared" si="27"/>
        <v>397.851</v>
      </c>
      <c r="O52" s="181">
        <f t="shared" si="27"/>
        <v>397.851</v>
      </c>
      <c r="P52" s="181">
        <f t="shared" si="27"/>
        <v>397.851</v>
      </c>
      <c r="Q52" s="181">
        <f t="shared" si="27"/>
        <v>397.851</v>
      </c>
      <c r="R52" s="181">
        <f t="shared" si="27"/>
        <v>397.851</v>
      </c>
      <c r="S52" s="181">
        <f t="shared" si="27"/>
        <v>397.851</v>
      </c>
      <c r="T52" s="182">
        <f t="shared" si="27"/>
        <v>397.851</v>
      </c>
      <c r="V52" s="113" t="s">
        <v>105</v>
      </c>
      <c r="W52" s="146">
        <f>SUM(I52:T52)</f>
        <v>4376.361</v>
      </c>
      <c r="X52" s="137"/>
      <c r="Y52" s="128"/>
      <c r="Z52" s="110"/>
    </row>
    <row r="53">
      <c r="A53" s="142"/>
      <c r="B53" s="109"/>
      <c r="C53" s="110"/>
      <c r="D53" s="110"/>
      <c r="E53" s="127"/>
      <c r="F53" s="109"/>
      <c r="G53" s="109"/>
      <c r="H53" s="142"/>
      <c r="I53" s="144"/>
      <c r="J53" s="144"/>
      <c r="K53" s="144"/>
      <c r="L53" s="144"/>
      <c r="M53" s="144"/>
      <c r="N53" s="144"/>
      <c r="O53" s="144"/>
      <c r="P53" s="144"/>
      <c r="Q53" s="144"/>
      <c r="R53" s="144"/>
      <c r="S53" s="144"/>
      <c r="T53" s="144"/>
      <c r="V53" s="133"/>
      <c r="W53" s="114"/>
      <c r="X53" s="137"/>
      <c r="Y53" s="128"/>
      <c r="Z53" s="110"/>
    </row>
    <row r="54">
      <c r="A54" s="142"/>
      <c r="C54" s="110"/>
      <c r="D54" s="110"/>
      <c r="E54" s="127"/>
      <c r="F54" s="109"/>
      <c r="G54" s="109" t="s">
        <v>107</v>
      </c>
      <c r="H54" s="142"/>
      <c r="I54" s="183">
        <f t="shared" ref="I54:T54" si="28">SUM(I6,I17:I18,I23:I25,I36,I51)</f>
        <v>202.7499848</v>
      </c>
      <c r="J54" s="183">
        <f t="shared" si="28"/>
        <v>40018.40732</v>
      </c>
      <c r="K54" s="183">
        <f t="shared" si="28"/>
        <v>38396.40745</v>
      </c>
      <c r="L54" s="183">
        <f t="shared" si="28"/>
        <v>41640.4072</v>
      </c>
      <c r="M54" s="183">
        <f t="shared" si="28"/>
        <v>38396.40745</v>
      </c>
      <c r="N54" s="183">
        <f t="shared" si="28"/>
        <v>24523.38637</v>
      </c>
      <c r="O54" s="183">
        <f t="shared" si="28"/>
        <v>25441.06711</v>
      </c>
      <c r="P54" s="183">
        <f t="shared" si="28"/>
        <v>22688.02488</v>
      </c>
      <c r="Q54" s="183">
        <f t="shared" si="28"/>
        <v>25441.06711</v>
      </c>
      <c r="R54" s="183">
        <f t="shared" si="28"/>
        <v>24523.38637</v>
      </c>
      <c r="S54" s="183">
        <f t="shared" si="28"/>
        <v>22688.02488</v>
      </c>
      <c r="T54" s="183">
        <f t="shared" si="28"/>
        <v>24523.38637</v>
      </c>
      <c r="V54" s="113" t="s">
        <v>108</v>
      </c>
      <c r="W54" s="125">
        <f t="shared" ref="W54:W55" si="30">SUM(I54:T54)</f>
        <v>328482.7225</v>
      </c>
      <c r="X54" s="137"/>
      <c r="Y54" s="128"/>
      <c r="Z54" s="110"/>
    </row>
    <row r="55">
      <c r="A55" s="142"/>
      <c r="E55" s="127"/>
      <c r="F55" s="177"/>
      <c r="G55" s="179" t="s">
        <v>109</v>
      </c>
      <c r="H55" s="170"/>
      <c r="I55" s="184">
        <f t="shared" ref="I55:T55" si="29">SUM(I6,I19,I30,I36,I38,I52)</f>
        <v>213.1112</v>
      </c>
      <c r="J55" s="184">
        <f t="shared" si="29"/>
        <v>41885.4222</v>
      </c>
      <c r="K55" s="184">
        <f t="shared" si="29"/>
        <v>40180.5326</v>
      </c>
      <c r="L55" s="184">
        <f t="shared" si="29"/>
        <v>43590.3118</v>
      </c>
      <c r="M55" s="184">
        <f t="shared" si="29"/>
        <v>40180.5326</v>
      </c>
      <c r="N55" s="184">
        <f t="shared" si="29"/>
        <v>25523.283</v>
      </c>
      <c r="O55" s="184">
        <f t="shared" si="29"/>
        <v>26484.439</v>
      </c>
      <c r="P55" s="184">
        <f t="shared" si="29"/>
        <v>23600.971</v>
      </c>
      <c r="Q55" s="184">
        <f t="shared" si="29"/>
        <v>26484.439</v>
      </c>
      <c r="R55" s="184">
        <f t="shared" si="29"/>
        <v>26742.283</v>
      </c>
      <c r="S55" s="184">
        <f t="shared" si="29"/>
        <v>23600.971</v>
      </c>
      <c r="T55" s="184">
        <f t="shared" si="29"/>
        <v>25523.283</v>
      </c>
      <c r="V55" s="113" t="s">
        <v>110</v>
      </c>
      <c r="W55" s="125">
        <f t="shared" si="30"/>
        <v>344009.5794</v>
      </c>
      <c r="X55" s="137"/>
      <c r="Y55" s="128"/>
      <c r="Z55" s="110"/>
    </row>
    <row r="56">
      <c r="A56" s="142"/>
      <c r="B56" s="142"/>
      <c r="C56" s="153"/>
      <c r="D56" s="153"/>
      <c r="E56" s="144"/>
      <c r="F56" s="142"/>
      <c r="G56" s="109"/>
      <c r="H56" s="142"/>
      <c r="I56" s="144"/>
      <c r="J56" s="144"/>
      <c r="K56" s="144"/>
      <c r="L56" s="144"/>
      <c r="M56" s="144"/>
      <c r="N56" s="144"/>
      <c r="O56" s="144"/>
      <c r="P56" s="144"/>
      <c r="Q56" s="144"/>
      <c r="R56" s="144"/>
      <c r="S56" s="144"/>
      <c r="T56" s="144"/>
      <c r="V56" s="133"/>
      <c r="W56" s="114"/>
      <c r="X56" s="137"/>
      <c r="Y56" s="128"/>
      <c r="Z56" s="110"/>
    </row>
    <row r="57">
      <c r="A57" s="142"/>
      <c r="C57" s="109" t="s">
        <v>111</v>
      </c>
      <c r="D57" s="109"/>
      <c r="E57" s="143">
        <v>0.03</v>
      </c>
      <c r="F57" s="142"/>
      <c r="G57" s="109"/>
      <c r="H57" s="142"/>
      <c r="I57" s="183">
        <f t="shared" ref="I57:T57" si="31">I55*$E$57</f>
        <v>6.393336</v>
      </c>
      <c r="J57" s="183">
        <f t="shared" si="31"/>
        <v>1256.562666</v>
      </c>
      <c r="K57" s="183">
        <f t="shared" si="31"/>
        <v>1205.415978</v>
      </c>
      <c r="L57" s="183">
        <f t="shared" si="31"/>
        <v>1307.709354</v>
      </c>
      <c r="M57" s="183">
        <f t="shared" si="31"/>
        <v>1205.415978</v>
      </c>
      <c r="N57" s="183">
        <f t="shared" si="31"/>
        <v>765.69849</v>
      </c>
      <c r="O57" s="183">
        <f t="shared" si="31"/>
        <v>794.53317</v>
      </c>
      <c r="P57" s="183">
        <f t="shared" si="31"/>
        <v>708.02913</v>
      </c>
      <c r="Q57" s="183">
        <f t="shared" si="31"/>
        <v>794.53317</v>
      </c>
      <c r="R57" s="183">
        <f t="shared" si="31"/>
        <v>802.26849</v>
      </c>
      <c r="S57" s="183">
        <f t="shared" si="31"/>
        <v>708.02913</v>
      </c>
      <c r="T57" s="183">
        <f t="shared" si="31"/>
        <v>765.69849</v>
      </c>
      <c r="V57" s="113" t="s">
        <v>112</v>
      </c>
      <c r="W57" s="125">
        <f>SUM(I57:T57)</f>
        <v>10320.28738</v>
      </c>
      <c r="X57" s="137"/>
      <c r="Y57" s="128"/>
      <c r="Z57" s="110"/>
    </row>
    <row r="59">
      <c r="A59" s="185"/>
      <c r="B59" s="142"/>
      <c r="C59" s="144"/>
      <c r="D59" s="144"/>
      <c r="E59" s="142"/>
      <c r="F59" s="185"/>
      <c r="G59" s="135"/>
      <c r="H59" s="185"/>
      <c r="I59" s="136"/>
      <c r="J59" s="136"/>
      <c r="K59" s="136"/>
      <c r="L59" s="136"/>
      <c r="M59" s="136"/>
      <c r="N59" s="136"/>
      <c r="O59" s="136"/>
      <c r="P59" s="136"/>
      <c r="Q59" s="136"/>
      <c r="R59" s="136"/>
      <c r="S59" s="136"/>
      <c r="T59" s="136"/>
      <c r="V59" s="133"/>
      <c r="W59" s="114"/>
      <c r="X59" s="186"/>
      <c r="Y59" s="128"/>
      <c r="Z59" s="110"/>
    </row>
    <row r="60">
      <c r="A60" s="185"/>
      <c r="C60" s="187"/>
      <c r="D60" s="187"/>
      <c r="F60" s="188"/>
      <c r="G60" s="189" t="s">
        <v>113</v>
      </c>
      <c r="H60" s="121"/>
      <c r="I60" s="150">
        <f>SUM(I55+I57)+I17</f>
        <v>219.504536</v>
      </c>
      <c r="J60" s="150">
        <f t="shared" ref="J60:T60" si="32">SUM(J55+J57)</f>
        <v>43141.98487</v>
      </c>
      <c r="K60" s="150">
        <f t="shared" si="32"/>
        <v>41385.94858</v>
      </c>
      <c r="L60" s="150">
        <f t="shared" si="32"/>
        <v>44898.02115</v>
      </c>
      <c r="M60" s="150">
        <f t="shared" si="32"/>
        <v>41385.94858</v>
      </c>
      <c r="N60" s="150">
        <f t="shared" si="32"/>
        <v>26288.98149</v>
      </c>
      <c r="O60" s="150">
        <f t="shared" si="32"/>
        <v>27278.97217</v>
      </c>
      <c r="P60" s="150">
        <f t="shared" si="32"/>
        <v>24309.00013</v>
      </c>
      <c r="Q60" s="150">
        <f t="shared" si="32"/>
        <v>27278.97217</v>
      </c>
      <c r="R60" s="150">
        <f t="shared" si="32"/>
        <v>27544.55149</v>
      </c>
      <c r="S60" s="150">
        <f t="shared" si="32"/>
        <v>24309.00013</v>
      </c>
      <c r="T60" s="150">
        <f t="shared" si="32"/>
        <v>26288.98149</v>
      </c>
      <c r="V60" s="113" t="s">
        <v>114</v>
      </c>
      <c r="W60" s="146">
        <f t="shared" ref="W60:W61" si="34">SUM(I60:T60)</f>
        <v>354329.8668</v>
      </c>
      <c r="X60" s="190"/>
      <c r="Y60" s="128"/>
      <c r="Z60" s="110"/>
    </row>
    <row r="61">
      <c r="A61" s="98"/>
      <c r="C61" s="191"/>
      <c r="D61" s="191"/>
      <c r="F61" s="192"/>
      <c r="G61" s="192" t="s">
        <v>104</v>
      </c>
      <c r="I61" s="193">
        <f t="shared" ref="I61:T61" si="33">I60-I54</f>
        <v>16.7545512</v>
      </c>
      <c r="J61" s="193">
        <f t="shared" si="33"/>
        <v>3123.577541</v>
      </c>
      <c r="K61" s="193">
        <f t="shared" si="33"/>
        <v>2989.541132</v>
      </c>
      <c r="L61" s="193">
        <f t="shared" si="33"/>
        <v>3257.613951</v>
      </c>
      <c r="M61" s="193">
        <f t="shared" si="33"/>
        <v>2989.541132</v>
      </c>
      <c r="N61" s="193">
        <f t="shared" si="33"/>
        <v>1765.595122</v>
      </c>
      <c r="O61" s="193">
        <f t="shared" si="33"/>
        <v>1837.905058</v>
      </c>
      <c r="P61" s="193">
        <f t="shared" si="33"/>
        <v>1620.97525</v>
      </c>
      <c r="Q61" s="193">
        <f t="shared" si="33"/>
        <v>1837.905058</v>
      </c>
      <c r="R61" s="193">
        <f t="shared" si="33"/>
        <v>3021.165122</v>
      </c>
      <c r="S61" s="193">
        <f t="shared" si="33"/>
        <v>1620.97525</v>
      </c>
      <c r="T61" s="193">
        <f t="shared" si="33"/>
        <v>1765.595122</v>
      </c>
      <c r="V61" s="113" t="s">
        <v>115</v>
      </c>
      <c r="W61" s="146">
        <f t="shared" si="34"/>
        <v>25847.14429</v>
      </c>
      <c r="X61" s="186"/>
      <c r="Y61" s="128"/>
      <c r="Z61" s="110"/>
    </row>
    <row r="62">
      <c r="A62" s="108"/>
      <c r="C62" s="194"/>
      <c r="D62" s="194"/>
      <c r="F62" s="192"/>
      <c r="G62" s="192" t="s">
        <v>116</v>
      </c>
      <c r="I62" s="128">
        <f t="shared" ref="I62:T62" si="35">I61/I60</f>
        <v>0.07632895204</v>
      </c>
      <c r="J62" s="128">
        <f t="shared" si="35"/>
        <v>0.07240226779</v>
      </c>
      <c r="K62" s="128">
        <f t="shared" si="35"/>
        <v>0.07223565568</v>
      </c>
      <c r="L62" s="128">
        <f t="shared" si="35"/>
        <v>0.07255584694</v>
      </c>
      <c r="M62" s="128">
        <f t="shared" si="35"/>
        <v>0.07223565568</v>
      </c>
      <c r="N62" s="128">
        <f t="shared" si="35"/>
        <v>0.06716103181</v>
      </c>
      <c r="O62" s="128">
        <f t="shared" si="35"/>
        <v>0.06737442476</v>
      </c>
      <c r="P62" s="128">
        <f t="shared" si="35"/>
        <v>0.06668210298</v>
      </c>
      <c r="Q62" s="128">
        <f t="shared" si="35"/>
        <v>0.06737442476</v>
      </c>
      <c r="R62" s="128">
        <f t="shared" si="35"/>
        <v>0.1096828577</v>
      </c>
      <c r="S62" s="128">
        <f t="shared" si="35"/>
        <v>0.06668210298</v>
      </c>
      <c r="T62" s="128">
        <f t="shared" si="35"/>
        <v>0.06716103181</v>
      </c>
      <c r="V62" s="113" t="s">
        <v>116</v>
      </c>
      <c r="W62" s="152">
        <f>W61/W60</f>
        <v>0.07294655831</v>
      </c>
      <c r="X62" s="186"/>
      <c r="Y62" s="128"/>
      <c r="Z62" s="110"/>
    </row>
    <row r="63">
      <c r="A63" s="137"/>
      <c r="B63" s="137"/>
      <c r="C63" s="98"/>
      <c r="D63" s="98"/>
      <c r="E63" s="142"/>
      <c r="F63" s="98"/>
      <c r="G63" s="132"/>
      <c r="H63" s="98"/>
      <c r="I63" s="98"/>
      <c r="J63" s="98"/>
      <c r="Q63" s="98"/>
      <c r="R63" s="98"/>
      <c r="S63" s="98"/>
      <c r="T63" s="135"/>
      <c r="U63" s="144"/>
      <c r="V63" s="142"/>
      <c r="W63" s="137"/>
      <c r="X63" s="137"/>
      <c r="Y63" s="128"/>
      <c r="Z63" s="110"/>
    </row>
    <row r="64">
      <c r="A64" s="108"/>
      <c r="B64" s="126"/>
      <c r="C64" s="108"/>
      <c r="D64" s="108"/>
      <c r="E64" s="142" t="s">
        <v>117</v>
      </c>
      <c r="F64" s="108"/>
      <c r="G64" s="77">
        <v>0.0</v>
      </c>
      <c r="H64" s="108"/>
      <c r="I64" s="154">
        <f t="shared" ref="I64:T64" si="36">SUM(I60*$G$64)</f>
        <v>0</v>
      </c>
      <c r="J64" s="154">
        <f t="shared" si="36"/>
        <v>0</v>
      </c>
      <c r="K64" s="154">
        <f t="shared" si="36"/>
        <v>0</v>
      </c>
      <c r="L64" s="154">
        <f t="shared" si="36"/>
        <v>0</v>
      </c>
      <c r="M64" s="154">
        <f t="shared" si="36"/>
        <v>0</v>
      </c>
      <c r="N64" s="154">
        <f t="shared" si="36"/>
        <v>0</v>
      </c>
      <c r="O64" s="154">
        <f t="shared" si="36"/>
        <v>0</v>
      </c>
      <c r="P64" s="154">
        <f t="shared" si="36"/>
        <v>0</v>
      </c>
      <c r="Q64" s="154">
        <f t="shared" si="36"/>
        <v>0</v>
      </c>
      <c r="R64" s="154">
        <f t="shared" si="36"/>
        <v>0</v>
      </c>
      <c r="S64" s="154">
        <f t="shared" si="36"/>
        <v>0</v>
      </c>
      <c r="T64" s="154">
        <f t="shared" si="36"/>
        <v>0</v>
      </c>
      <c r="U64" s="97"/>
      <c r="V64" s="109" t="s">
        <v>118</v>
      </c>
      <c r="W64" s="195">
        <f>SUM(I64:T64)</f>
        <v>0</v>
      </c>
      <c r="X64" s="196"/>
      <c r="Y64" s="197"/>
      <c r="Z64" s="198"/>
    </row>
    <row r="65">
      <c r="A65" s="126"/>
      <c r="B65" s="126"/>
      <c r="C65" s="126"/>
      <c r="D65" s="126"/>
      <c r="E65" s="126"/>
      <c r="F65" s="126"/>
      <c r="G65" s="126"/>
      <c r="H65" s="126"/>
      <c r="I65" s="126"/>
      <c r="J65" s="126"/>
      <c r="K65" s="126"/>
      <c r="L65" s="126"/>
      <c r="M65" s="129"/>
      <c r="N65" s="126"/>
      <c r="O65" s="126"/>
      <c r="P65" s="126"/>
      <c r="Q65" s="126"/>
      <c r="R65" s="126"/>
      <c r="S65" s="126"/>
      <c r="T65" s="135"/>
      <c r="U65" s="97"/>
      <c r="V65" s="98"/>
      <c r="W65" s="199"/>
      <c r="X65" s="199"/>
      <c r="Y65" s="199"/>
      <c r="Z65" s="199"/>
    </row>
    <row r="66">
      <c r="A66" s="108"/>
      <c r="B66" s="126"/>
      <c r="C66" s="108"/>
      <c r="D66" s="108"/>
      <c r="E66" s="108"/>
      <c r="F66" s="108"/>
      <c r="G66" s="108"/>
      <c r="H66" s="108"/>
      <c r="I66" s="108"/>
      <c r="J66" s="108"/>
      <c r="K66" s="108"/>
      <c r="L66" s="108"/>
      <c r="M66" s="110"/>
      <c r="N66" s="108"/>
      <c r="O66" s="108"/>
      <c r="P66" s="108"/>
      <c r="Q66" s="108"/>
      <c r="R66" s="108"/>
      <c r="S66" s="108"/>
      <c r="T66" s="135"/>
      <c r="U66" s="200"/>
      <c r="V66" s="130" t="s">
        <v>119</v>
      </c>
      <c r="W66" s="201">
        <f>SUM(W60,W64)</f>
        <v>354329.8668</v>
      </c>
      <c r="X66" s="196"/>
      <c r="Y66" s="197"/>
      <c r="Z66" s="198"/>
    </row>
    <row r="67">
      <c r="A67" s="202"/>
      <c r="B67" s="203"/>
      <c r="C67" s="161"/>
      <c r="D67" s="161"/>
      <c r="E67" s="161"/>
      <c r="F67" s="161"/>
      <c r="G67" s="161"/>
      <c r="H67" s="161"/>
      <c r="I67" s="161"/>
      <c r="J67" s="161"/>
      <c r="K67" s="161"/>
      <c r="L67" s="161"/>
      <c r="M67" s="204"/>
      <c r="N67" s="161"/>
      <c r="O67" s="161"/>
      <c r="P67" s="161"/>
      <c r="Q67" s="161"/>
      <c r="R67" s="161"/>
      <c r="S67" s="161"/>
      <c r="T67" s="135"/>
      <c r="U67" s="97"/>
      <c r="V67" s="98"/>
      <c r="W67" s="99"/>
      <c r="X67" s="99"/>
      <c r="Y67" s="99"/>
      <c r="Z67" s="99"/>
    </row>
    <row r="68">
      <c r="A68" s="203"/>
      <c r="B68" s="203"/>
      <c r="C68" s="205"/>
      <c r="D68" s="205"/>
      <c r="E68" s="205"/>
      <c r="F68" s="205"/>
      <c r="G68" s="205"/>
      <c r="H68" s="205"/>
      <c r="I68" s="205"/>
      <c r="J68" s="205"/>
      <c r="K68" s="205"/>
      <c r="L68" s="205"/>
      <c r="M68" s="206"/>
      <c r="N68" s="205"/>
      <c r="O68" s="205"/>
      <c r="P68" s="205"/>
      <c r="Q68" s="205"/>
      <c r="R68" s="205"/>
      <c r="S68" s="205"/>
      <c r="T68" s="135"/>
      <c r="U68" s="97"/>
      <c r="V68" s="98"/>
      <c r="W68" s="99"/>
      <c r="X68" s="99"/>
      <c r="Y68" s="99"/>
      <c r="Z68" s="99"/>
    </row>
    <row r="69">
      <c r="A69" s="207"/>
      <c r="B69" s="203"/>
      <c r="C69" s="128"/>
      <c r="D69" s="128"/>
      <c r="E69" s="205"/>
      <c r="F69" s="205"/>
      <c r="G69" s="205"/>
      <c r="H69" s="205"/>
      <c r="I69" s="205"/>
      <c r="J69" s="205"/>
      <c r="K69" s="205"/>
      <c r="L69" s="205"/>
      <c r="M69" s="206"/>
      <c r="N69" s="205"/>
      <c r="O69" s="205"/>
      <c r="P69" s="205"/>
      <c r="Q69" s="205"/>
      <c r="R69" s="205"/>
      <c r="S69" s="205"/>
      <c r="T69" s="135"/>
      <c r="U69" s="144"/>
      <c r="V69" s="142"/>
      <c r="W69" s="186"/>
      <c r="X69" s="186"/>
      <c r="Y69" s="128"/>
      <c r="Z69" s="110"/>
    </row>
    <row r="70">
      <c r="A70" s="99"/>
      <c r="B70" s="99"/>
      <c r="C70" s="99"/>
      <c r="D70" s="99"/>
      <c r="E70" s="99"/>
      <c r="F70" s="99"/>
      <c r="G70" s="99"/>
      <c r="H70" s="99"/>
      <c r="I70" s="99"/>
      <c r="J70" s="99"/>
      <c r="K70" s="99"/>
      <c r="L70" s="99"/>
      <c r="M70" s="97"/>
      <c r="N70" s="99"/>
      <c r="O70" s="99"/>
      <c r="P70" s="99"/>
      <c r="Q70" s="99"/>
      <c r="R70" s="99"/>
      <c r="S70" s="99"/>
      <c r="T70" s="135"/>
      <c r="U70" s="97"/>
      <c r="V70" s="98"/>
      <c r="W70" s="99"/>
      <c r="X70" s="99"/>
      <c r="Y70" s="99"/>
      <c r="Z70" s="99"/>
    </row>
    <row r="71">
      <c r="A71" s="108"/>
      <c r="B71" s="108"/>
      <c r="C71" s="108"/>
      <c r="D71" s="108"/>
      <c r="E71" s="108"/>
      <c r="F71" s="108"/>
      <c r="G71" s="108"/>
      <c r="H71" s="108"/>
      <c r="I71" s="108"/>
      <c r="J71" s="108"/>
      <c r="K71" s="108"/>
      <c r="L71" s="108"/>
      <c r="M71" s="110"/>
      <c r="N71" s="108"/>
      <c r="O71" s="108"/>
      <c r="P71" s="108"/>
      <c r="Q71" s="108"/>
      <c r="R71" s="108"/>
      <c r="S71" s="108"/>
      <c r="T71" s="108"/>
      <c r="U71" s="129"/>
      <c r="V71" s="132"/>
      <c r="W71" s="126"/>
      <c r="X71" s="126"/>
      <c r="Y71" s="126"/>
      <c r="Z71" s="126"/>
    </row>
    <row r="72">
      <c r="A72" s="108"/>
      <c r="B72" s="126"/>
      <c r="C72" s="108"/>
      <c r="D72" s="108"/>
      <c r="E72" s="108"/>
      <c r="F72" s="108"/>
      <c r="G72" s="108"/>
      <c r="H72" s="108"/>
      <c r="I72" s="108"/>
      <c r="J72" s="108"/>
      <c r="K72" s="108"/>
      <c r="L72" s="108"/>
      <c r="M72" s="110"/>
      <c r="N72" s="108"/>
      <c r="O72" s="108"/>
      <c r="P72" s="108"/>
      <c r="Q72" s="108"/>
      <c r="R72" s="108"/>
      <c r="S72" s="108"/>
      <c r="T72" s="135"/>
      <c r="U72" s="144"/>
      <c r="V72" s="142"/>
      <c r="W72" s="208"/>
      <c r="X72" s="196"/>
      <c r="Y72" s="209"/>
      <c r="Z72" s="198"/>
    </row>
    <row r="73">
      <c r="A73" s="108"/>
      <c r="B73" s="126"/>
      <c r="C73" s="108"/>
      <c r="D73" s="108"/>
      <c r="E73" s="108"/>
      <c r="F73" s="108"/>
      <c r="G73" s="108"/>
      <c r="H73" s="108"/>
      <c r="I73" s="108"/>
      <c r="J73" s="108"/>
      <c r="K73" s="108"/>
      <c r="L73" s="108"/>
      <c r="M73" s="110"/>
      <c r="N73" s="108"/>
      <c r="O73" s="108"/>
      <c r="P73" s="108"/>
      <c r="Q73" s="108"/>
      <c r="R73" s="108"/>
      <c r="S73" s="108"/>
      <c r="T73" s="135"/>
      <c r="U73" s="144"/>
      <c r="V73" s="142"/>
      <c r="W73" s="208"/>
      <c r="X73" s="196"/>
      <c r="Y73" s="209"/>
      <c r="Z73" s="198"/>
    </row>
    <row r="74">
      <c r="A74" s="126"/>
      <c r="B74" s="126"/>
      <c r="C74" s="126"/>
      <c r="D74" s="126"/>
      <c r="E74" s="126"/>
      <c r="F74" s="126"/>
      <c r="G74" s="126"/>
      <c r="H74" s="126"/>
      <c r="I74" s="126"/>
      <c r="J74" s="126"/>
      <c r="K74" s="126"/>
      <c r="L74" s="126"/>
      <c r="M74" s="129"/>
      <c r="N74" s="126"/>
      <c r="O74" s="126"/>
      <c r="P74" s="126"/>
      <c r="Q74" s="126"/>
      <c r="R74" s="126"/>
      <c r="S74" s="126"/>
      <c r="T74" s="135"/>
      <c r="U74" s="144"/>
      <c r="V74" s="142"/>
      <c r="W74" s="115"/>
      <c r="X74" s="115"/>
      <c r="Y74" s="115"/>
      <c r="Z74" s="115"/>
    </row>
    <row r="75">
      <c r="A75" s="210"/>
      <c r="B75" s="211"/>
      <c r="C75" s="212"/>
      <c r="D75" s="212"/>
      <c r="E75" s="212"/>
      <c r="F75" s="212"/>
      <c r="G75" s="212"/>
      <c r="H75" s="212"/>
      <c r="I75" s="212"/>
      <c r="J75" s="212"/>
      <c r="K75" s="212"/>
      <c r="L75" s="212"/>
      <c r="M75" s="213"/>
      <c r="N75" s="212"/>
      <c r="O75" s="212"/>
      <c r="P75" s="212"/>
      <c r="Q75" s="212"/>
      <c r="R75" s="212"/>
      <c r="S75" s="212"/>
      <c r="T75" s="109"/>
      <c r="U75" s="214"/>
      <c r="V75" s="215"/>
      <c r="W75" s="216"/>
      <c r="X75" s="216"/>
      <c r="Y75" s="217"/>
      <c r="Z75" s="218"/>
    </row>
    <row r="76">
      <c r="A76" s="99"/>
      <c r="B76" s="99"/>
      <c r="C76" s="99"/>
      <c r="D76" s="99"/>
      <c r="E76" s="99"/>
      <c r="F76" s="99"/>
      <c r="G76" s="99"/>
      <c r="H76" s="99"/>
      <c r="I76" s="99"/>
      <c r="J76" s="99"/>
      <c r="K76" s="99"/>
      <c r="L76" s="99"/>
      <c r="M76" s="97"/>
      <c r="N76" s="99"/>
      <c r="O76" s="99"/>
      <c r="P76" s="99"/>
      <c r="Q76" s="99"/>
      <c r="R76" s="99"/>
      <c r="S76" s="99"/>
      <c r="T76" s="219"/>
      <c r="U76" s="97"/>
      <c r="V76" s="98"/>
      <c r="W76" s="220"/>
      <c r="X76" s="220"/>
      <c r="Y76" s="221"/>
      <c r="Z76" s="222"/>
    </row>
    <row r="77">
      <c r="M77" s="127"/>
      <c r="U77" s="127"/>
      <c r="V77" s="223"/>
    </row>
    <row r="78">
      <c r="M78" s="127"/>
      <c r="U78" s="127"/>
      <c r="V78" s="223"/>
    </row>
    <row r="79">
      <c r="M79" s="127"/>
      <c r="U79" s="127"/>
      <c r="V79" s="223"/>
    </row>
    <row r="80">
      <c r="M80" s="127"/>
      <c r="U80" s="127"/>
      <c r="V80" s="223"/>
    </row>
    <row r="81">
      <c r="M81" s="127"/>
      <c r="U81" s="127"/>
      <c r="V81" s="223"/>
    </row>
    <row r="82">
      <c r="M82" s="127"/>
      <c r="U82" s="127"/>
      <c r="V82" s="223"/>
    </row>
    <row r="83">
      <c r="M83" s="127"/>
      <c r="U83" s="127"/>
      <c r="V83" s="223"/>
    </row>
    <row r="84">
      <c r="M84" s="127"/>
      <c r="U84" s="127"/>
      <c r="V84" s="223"/>
    </row>
    <row r="85">
      <c r="M85" s="127"/>
      <c r="U85" s="127"/>
      <c r="V85" s="223"/>
    </row>
    <row r="86">
      <c r="M86" s="127"/>
      <c r="U86" s="127"/>
      <c r="V86" s="223"/>
    </row>
    <row r="87">
      <c r="M87" s="127"/>
      <c r="U87" s="127"/>
      <c r="V87" s="223"/>
    </row>
    <row r="88">
      <c r="M88" s="127"/>
      <c r="U88" s="127"/>
      <c r="V88" s="223"/>
    </row>
    <row r="89">
      <c r="M89" s="127"/>
      <c r="U89" s="127"/>
      <c r="V89" s="223"/>
    </row>
    <row r="90">
      <c r="M90" s="127"/>
      <c r="U90" s="127"/>
      <c r="V90" s="223"/>
    </row>
    <row r="91">
      <c r="M91" s="127"/>
      <c r="U91" s="127"/>
      <c r="V91" s="223"/>
    </row>
    <row r="92">
      <c r="M92" s="127"/>
      <c r="U92" s="127"/>
      <c r="V92" s="223"/>
    </row>
    <row r="93">
      <c r="M93" s="127"/>
      <c r="U93" s="127"/>
      <c r="V93" s="223"/>
    </row>
    <row r="94">
      <c r="M94" s="127"/>
      <c r="U94" s="127"/>
      <c r="V94" s="223"/>
    </row>
    <row r="95">
      <c r="M95" s="127"/>
      <c r="U95" s="127"/>
      <c r="V95" s="223"/>
    </row>
    <row r="96">
      <c r="M96" s="127"/>
      <c r="U96" s="127"/>
      <c r="V96" s="223"/>
    </row>
    <row r="97">
      <c r="M97" s="127"/>
      <c r="U97" s="127"/>
      <c r="V97" s="223"/>
    </row>
    <row r="98">
      <c r="M98" s="127"/>
      <c r="U98" s="127"/>
      <c r="V98" s="223"/>
    </row>
    <row r="99">
      <c r="M99" s="127"/>
      <c r="U99" s="127"/>
      <c r="V99" s="223"/>
    </row>
    <row r="100">
      <c r="M100" s="127"/>
      <c r="U100" s="127"/>
      <c r="V100" s="223"/>
    </row>
    <row r="101">
      <c r="M101" s="127"/>
      <c r="U101" s="127"/>
      <c r="V101" s="223"/>
    </row>
    <row r="102">
      <c r="M102" s="127"/>
      <c r="U102" s="127"/>
      <c r="V102" s="223"/>
    </row>
    <row r="103">
      <c r="M103" s="127"/>
      <c r="U103" s="127"/>
      <c r="V103" s="223"/>
    </row>
    <row r="104">
      <c r="M104" s="127"/>
      <c r="U104" s="127"/>
      <c r="V104" s="223"/>
    </row>
    <row r="105">
      <c r="M105" s="127"/>
      <c r="U105" s="127"/>
      <c r="V105" s="223"/>
    </row>
    <row r="106">
      <c r="M106" s="127"/>
      <c r="U106" s="127"/>
      <c r="V106" s="223"/>
    </row>
    <row r="107">
      <c r="M107" s="127"/>
      <c r="U107" s="127"/>
      <c r="V107" s="223"/>
    </row>
    <row r="108">
      <c r="M108" s="127"/>
      <c r="U108" s="127"/>
      <c r="V108" s="223"/>
    </row>
    <row r="109">
      <c r="M109" s="127"/>
      <c r="U109" s="127"/>
      <c r="V109" s="223"/>
    </row>
    <row r="110">
      <c r="M110" s="127"/>
      <c r="U110" s="127"/>
      <c r="V110" s="223"/>
    </row>
    <row r="111">
      <c r="M111" s="127"/>
      <c r="U111" s="127"/>
      <c r="V111" s="223"/>
    </row>
    <row r="112">
      <c r="M112" s="127"/>
      <c r="U112" s="127"/>
      <c r="V112" s="223"/>
    </row>
    <row r="113">
      <c r="M113" s="127"/>
      <c r="U113" s="127"/>
      <c r="V113" s="223"/>
    </row>
    <row r="114">
      <c r="M114" s="127"/>
      <c r="U114" s="127"/>
      <c r="V114" s="223"/>
    </row>
    <row r="115">
      <c r="M115" s="127"/>
      <c r="U115" s="127"/>
      <c r="V115" s="223"/>
    </row>
    <row r="116">
      <c r="M116" s="127"/>
      <c r="U116" s="127"/>
      <c r="V116" s="223"/>
    </row>
    <row r="117">
      <c r="M117" s="127"/>
      <c r="U117" s="127"/>
      <c r="V117" s="223"/>
    </row>
    <row r="118">
      <c r="M118" s="127"/>
      <c r="U118" s="127"/>
      <c r="V118" s="223"/>
    </row>
    <row r="119">
      <c r="M119" s="127"/>
      <c r="U119" s="127"/>
      <c r="V119" s="223"/>
    </row>
    <row r="120">
      <c r="M120" s="127"/>
      <c r="U120" s="127"/>
      <c r="V120" s="223"/>
    </row>
    <row r="121">
      <c r="M121" s="127"/>
      <c r="U121" s="127"/>
      <c r="V121" s="223"/>
    </row>
    <row r="122">
      <c r="M122" s="127"/>
      <c r="U122" s="127"/>
      <c r="V122" s="223"/>
    </row>
    <row r="123">
      <c r="M123" s="127"/>
      <c r="U123" s="127"/>
      <c r="V123" s="223"/>
    </row>
    <row r="124">
      <c r="M124" s="127"/>
      <c r="U124" s="127"/>
      <c r="V124" s="223"/>
    </row>
    <row r="125">
      <c r="M125" s="127"/>
      <c r="U125" s="127"/>
      <c r="V125" s="223"/>
    </row>
    <row r="126">
      <c r="M126" s="127"/>
      <c r="U126" s="127"/>
      <c r="V126" s="223"/>
    </row>
    <row r="127">
      <c r="M127" s="127"/>
      <c r="U127" s="127"/>
      <c r="V127" s="223"/>
    </row>
    <row r="128">
      <c r="M128" s="127"/>
      <c r="U128" s="127"/>
      <c r="V128" s="223"/>
    </row>
    <row r="129">
      <c r="M129" s="127"/>
      <c r="U129" s="127"/>
      <c r="V129" s="223"/>
    </row>
    <row r="130">
      <c r="M130" s="127"/>
      <c r="U130" s="127"/>
      <c r="V130" s="223"/>
    </row>
    <row r="131">
      <c r="M131" s="127"/>
      <c r="U131" s="127"/>
      <c r="V131" s="223"/>
    </row>
    <row r="132">
      <c r="M132" s="127"/>
      <c r="U132" s="127"/>
      <c r="V132" s="223"/>
    </row>
    <row r="133">
      <c r="M133" s="127"/>
      <c r="U133" s="127"/>
      <c r="V133" s="223"/>
    </row>
    <row r="134">
      <c r="M134" s="127"/>
      <c r="U134" s="127"/>
      <c r="V134" s="223"/>
    </row>
    <row r="135">
      <c r="M135" s="127"/>
      <c r="U135" s="127"/>
      <c r="V135" s="223"/>
    </row>
    <row r="136">
      <c r="M136" s="127"/>
      <c r="U136" s="127"/>
      <c r="V136" s="223"/>
    </row>
    <row r="137">
      <c r="M137" s="127"/>
      <c r="U137" s="127"/>
      <c r="V137" s="223"/>
    </row>
    <row r="138">
      <c r="M138" s="127"/>
      <c r="U138" s="127"/>
      <c r="V138" s="223"/>
    </row>
    <row r="139">
      <c r="M139" s="127"/>
      <c r="U139" s="127"/>
      <c r="V139" s="223"/>
    </row>
    <row r="140">
      <c r="M140" s="127"/>
      <c r="U140" s="127"/>
      <c r="V140" s="223"/>
    </row>
    <row r="141">
      <c r="M141" s="127"/>
      <c r="U141" s="127"/>
      <c r="V141" s="223"/>
    </row>
    <row r="142">
      <c r="M142" s="127"/>
      <c r="U142" s="127"/>
      <c r="V142" s="223"/>
    </row>
    <row r="143">
      <c r="M143" s="127"/>
      <c r="U143" s="127"/>
      <c r="V143" s="223"/>
    </row>
    <row r="144">
      <c r="M144" s="127"/>
      <c r="U144" s="127"/>
      <c r="V144" s="223"/>
    </row>
    <row r="145">
      <c r="M145" s="127"/>
      <c r="U145" s="127"/>
      <c r="V145" s="223"/>
    </row>
    <row r="146">
      <c r="M146" s="127"/>
      <c r="U146" s="127"/>
      <c r="V146" s="223"/>
    </row>
    <row r="147">
      <c r="M147" s="127"/>
      <c r="U147" s="127"/>
      <c r="V147" s="223"/>
    </row>
    <row r="148">
      <c r="M148" s="127"/>
      <c r="U148" s="127"/>
      <c r="V148" s="223"/>
    </row>
    <row r="149">
      <c r="M149" s="127"/>
      <c r="U149" s="127"/>
      <c r="V149" s="223"/>
    </row>
    <row r="150">
      <c r="M150" s="127"/>
      <c r="U150" s="127"/>
      <c r="V150" s="223"/>
    </row>
    <row r="151">
      <c r="M151" s="127"/>
      <c r="U151" s="127"/>
      <c r="V151" s="223"/>
    </row>
    <row r="152">
      <c r="M152" s="127"/>
      <c r="U152" s="127"/>
      <c r="V152" s="223"/>
    </row>
    <row r="153">
      <c r="M153" s="127"/>
      <c r="U153" s="127"/>
      <c r="V153" s="223"/>
    </row>
    <row r="154">
      <c r="M154" s="127"/>
      <c r="U154" s="127"/>
      <c r="V154" s="223"/>
    </row>
    <row r="155">
      <c r="M155" s="127"/>
      <c r="U155" s="127"/>
      <c r="V155" s="223"/>
    </row>
    <row r="156">
      <c r="M156" s="127"/>
      <c r="U156" s="127"/>
      <c r="V156" s="223"/>
    </row>
    <row r="157">
      <c r="M157" s="127"/>
      <c r="U157" s="127"/>
      <c r="V157" s="223"/>
    </row>
    <row r="158">
      <c r="M158" s="127"/>
      <c r="U158" s="127"/>
      <c r="V158" s="223"/>
    </row>
    <row r="159">
      <c r="M159" s="127"/>
      <c r="U159" s="127"/>
      <c r="V159" s="223"/>
    </row>
    <row r="160">
      <c r="M160" s="127"/>
      <c r="U160" s="127"/>
      <c r="V160" s="223"/>
    </row>
    <row r="161">
      <c r="M161" s="127"/>
      <c r="U161" s="127"/>
      <c r="V161" s="223"/>
    </row>
    <row r="162">
      <c r="M162" s="127"/>
      <c r="U162" s="127"/>
      <c r="V162" s="223"/>
    </row>
    <row r="163">
      <c r="M163" s="127"/>
      <c r="U163" s="127"/>
      <c r="V163" s="223"/>
    </row>
    <row r="164">
      <c r="M164" s="127"/>
      <c r="U164" s="127"/>
      <c r="V164" s="223"/>
    </row>
    <row r="165">
      <c r="M165" s="127"/>
      <c r="U165" s="127"/>
      <c r="V165" s="223"/>
    </row>
    <row r="166">
      <c r="M166" s="127"/>
      <c r="U166" s="127"/>
      <c r="V166" s="223"/>
    </row>
    <row r="167">
      <c r="M167" s="127"/>
      <c r="U167" s="127"/>
      <c r="V167" s="223"/>
    </row>
    <row r="168">
      <c r="M168" s="127"/>
      <c r="U168" s="127"/>
      <c r="V168" s="223"/>
    </row>
    <row r="169">
      <c r="M169" s="127"/>
      <c r="U169" s="127"/>
      <c r="V169" s="223"/>
    </row>
    <row r="170">
      <c r="M170" s="127"/>
      <c r="U170" s="127"/>
      <c r="V170" s="223"/>
    </row>
    <row r="171">
      <c r="M171" s="127"/>
      <c r="U171" s="127"/>
      <c r="V171" s="223"/>
    </row>
    <row r="172">
      <c r="M172" s="127"/>
      <c r="U172" s="127"/>
      <c r="V172" s="223"/>
    </row>
    <row r="173">
      <c r="M173" s="127"/>
      <c r="U173" s="127"/>
      <c r="V173" s="223"/>
    </row>
    <row r="174">
      <c r="M174" s="127"/>
      <c r="U174" s="127"/>
      <c r="V174" s="223"/>
    </row>
    <row r="175">
      <c r="M175" s="127"/>
      <c r="U175" s="127"/>
      <c r="V175" s="223"/>
    </row>
    <row r="176">
      <c r="M176" s="127"/>
      <c r="U176" s="127"/>
      <c r="V176" s="223"/>
    </row>
    <row r="177">
      <c r="M177" s="127"/>
      <c r="U177" s="127"/>
      <c r="V177" s="223"/>
    </row>
    <row r="178">
      <c r="M178" s="127"/>
      <c r="U178" s="127"/>
      <c r="V178" s="223"/>
    </row>
    <row r="179">
      <c r="M179" s="127"/>
      <c r="U179" s="127"/>
      <c r="V179" s="223"/>
    </row>
    <row r="180">
      <c r="M180" s="127"/>
      <c r="U180" s="127"/>
      <c r="V180" s="223"/>
    </row>
    <row r="181">
      <c r="M181" s="127"/>
      <c r="U181" s="127"/>
      <c r="V181" s="223"/>
    </row>
    <row r="182">
      <c r="M182" s="127"/>
      <c r="U182" s="127"/>
      <c r="V182" s="223"/>
    </row>
    <row r="183">
      <c r="M183" s="127"/>
      <c r="U183" s="127"/>
      <c r="V183" s="223"/>
    </row>
    <row r="184">
      <c r="M184" s="127"/>
      <c r="U184" s="127"/>
      <c r="V184" s="223"/>
    </row>
    <row r="185">
      <c r="M185" s="127"/>
      <c r="U185" s="127"/>
      <c r="V185" s="223"/>
    </row>
    <row r="186">
      <c r="M186" s="127"/>
      <c r="U186" s="127"/>
      <c r="V186" s="223"/>
    </row>
    <row r="187">
      <c r="M187" s="127"/>
      <c r="U187" s="127"/>
      <c r="V187" s="223"/>
    </row>
    <row r="188">
      <c r="M188" s="127"/>
      <c r="U188" s="127"/>
      <c r="V188" s="223"/>
    </row>
    <row r="189">
      <c r="M189" s="127"/>
      <c r="U189" s="127"/>
      <c r="V189" s="223"/>
    </row>
    <row r="190">
      <c r="M190" s="127"/>
      <c r="U190" s="127"/>
      <c r="V190" s="223"/>
    </row>
    <row r="191">
      <c r="M191" s="127"/>
      <c r="U191" s="127"/>
      <c r="V191" s="223"/>
    </row>
    <row r="192">
      <c r="M192" s="127"/>
      <c r="U192" s="127"/>
      <c r="V192" s="223"/>
    </row>
    <row r="193">
      <c r="M193" s="127"/>
      <c r="U193" s="127"/>
      <c r="V193" s="223"/>
    </row>
    <row r="194">
      <c r="M194" s="127"/>
      <c r="U194" s="127"/>
      <c r="V194" s="223"/>
    </row>
    <row r="195">
      <c r="M195" s="127"/>
      <c r="U195" s="127"/>
      <c r="V195" s="223"/>
    </row>
    <row r="196">
      <c r="M196" s="127"/>
      <c r="U196" s="127"/>
      <c r="V196" s="223"/>
    </row>
    <row r="197">
      <c r="M197" s="127"/>
      <c r="U197" s="127"/>
      <c r="V197" s="223"/>
    </row>
    <row r="198">
      <c r="M198" s="127"/>
      <c r="U198" s="127"/>
      <c r="V198" s="223"/>
    </row>
    <row r="199">
      <c r="M199" s="127"/>
      <c r="U199" s="127"/>
      <c r="V199" s="223"/>
    </row>
    <row r="200">
      <c r="M200" s="127"/>
      <c r="U200" s="127"/>
      <c r="V200" s="223"/>
    </row>
    <row r="201">
      <c r="M201" s="127"/>
      <c r="U201" s="127"/>
      <c r="V201" s="223"/>
    </row>
    <row r="202">
      <c r="M202" s="127"/>
      <c r="U202" s="127"/>
      <c r="V202" s="223"/>
    </row>
    <row r="203">
      <c r="M203" s="127"/>
      <c r="U203" s="127"/>
      <c r="V203" s="223"/>
    </row>
    <row r="204">
      <c r="M204" s="127"/>
      <c r="U204" s="127"/>
      <c r="V204" s="223"/>
    </row>
    <row r="205">
      <c r="M205" s="127"/>
      <c r="U205" s="127"/>
      <c r="V205" s="223"/>
    </row>
    <row r="206">
      <c r="M206" s="127"/>
      <c r="U206" s="127"/>
      <c r="V206" s="223"/>
    </row>
    <row r="207">
      <c r="M207" s="127"/>
      <c r="U207" s="127"/>
      <c r="V207" s="223"/>
    </row>
    <row r="208">
      <c r="M208" s="127"/>
      <c r="U208" s="127"/>
      <c r="V208" s="223"/>
    </row>
    <row r="209">
      <c r="M209" s="127"/>
      <c r="U209" s="127"/>
      <c r="V209" s="223"/>
    </row>
    <row r="210">
      <c r="M210" s="127"/>
      <c r="U210" s="127"/>
      <c r="V210" s="223"/>
    </row>
    <row r="211">
      <c r="M211" s="127"/>
      <c r="U211" s="127"/>
      <c r="V211" s="223"/>
    </row>
    <row r="212">
      <c r="M212" s="127"/>
      <c r="U212" s="127"/>
      <c r="V212" s="223"/>
    </row>
    <row r="213">
      <c r="M213" s="127"/>
      <c r="U213" s="127"/>
      <c r="V213" s="223"/>
    </row>
    <row r="214">
      <c r="M214" s="127"/>
      <c r="U214" s="127"/>
      <c r="V214" s="223"/>
    </row>
    <row r="215">
      <c r="M215" s="127"/>
      <c r="U215" s="127"/>
      <c r="V215" s="223"/>
    </row>
    <row r="216">
      <c r="M216" s="127"/>
      <c r="U216" s="127"/>
      <c r="V216" s="223"/>
    </row>
    <row r="217">
      <c r="M217" s="127"/>
      <c r="U217" s="127"/>
      <c r="V217" s="223"/>
    </row>
    <row r="218">
      <c r="M218" s="127"/>
      <c r="U218" s="127"/>
      <c r="V218" s="223"/>
    </row>
    <row r="219">
      <c r="M219" s="127"/>
      <c r="U219" s="127"/>
      <c r="V219" s="223"/>
    </row>
    <row r="220">
      <c r="M220" s="127"/>
      <c r="U220" s="127"/>
      <c r="V220" s="223"/>
    </row>
    <row r="221">
      <c r="M221" s="127"/>
      <c r="U221" s="127"/>
      <c r="V221" s="223"/>
    </row>
    <row r="222">
      <c r="M222" s="127"/>
      <c r="U222" s="127"/>
      <c r="V222" s="223"/>
    </row>
    <row r="223">
      <c r="M223" s="127"/>
      <c r="U223" s="127"/>
      <c r="V223" s="223"/>
    </row>
    <row r="224">
      <c r="M224" s="127"/>
      <c r="U224" s="127"/>
      <c r="V224" s="223"/>
    </row>
    <row r="225">
      <c r="M225" s="127"/>
      <c r="U225" s="127"/>
      <c r="V225" s="223"/>
    </row>
    <row r="226">
      <c r="M226" s="127"/>
      <c r="U226" s="127"/>
      <c r="V226" s="223"/>
    </row>
    <row r="227">
      <c r="M227" s="127"/>
      <c r="U227" s="127"/>
      <c r="V227" s="223"/>
    </row>
    <row r="228">
      <c r="M228" s="127"/>
      <c r="U228" s="127"/>
      <c r="V228" s="223"/>
    </row>
    <row r="229">
      <c r="M229" s="127"/>
      <c r="U229" s="127"/>
      <c r="V229" s="223"/>
    </row>
    <row r="230">
      <c r="M230" s="127"/>
      <c r="U230" s="127"/>
      <c r="V230" s="223"/>
    </row>
    <row r="231">
      <c r="M231" s="127"/>
      <c r="U231" s="127"/>
      <c r="V231" s="223"/>
    </row>
    <row r="232">
      <c r="M232" s="127"/>
      <c r="U232" s="127"/>
      <c r="V232" s="223"/>
    </row>
    <row r="233">
      <c r="M233" s="127"/>
      <c r="U233" s="127"/>
      <c r="V233" s="223"/>
    </row>
    <row r="234">
      <c r="M234" s="127"/>
      <c r="U234" s="127"/>
      <c r="V234" s="223"/>
    </row>
    <row r="235">
      <c r="M235" s="127"/>
      <c r="U235" s="127"/>
      <c r="V235" s="223"/>
    </row>
    <row r="236">
      <c r="M236" s="127"/>
      <c r="U236" s="127"/>
      <c r="V236" s="223"/>
    </row>
    <row r="237">
      <c r="M237" s="127"/>
      <c r="U237" s="127"/>
      <c r="V237" s="223"/>
    </row>
    <row r="238">
      <c r="M238" s="127"/>
      <c r="U238" s="127"/>
      <c r="V238" s="223"/>
    </row>
    <row r="239">
      <c r="M239" s="127"/>
      <c r="U239" s="127"/>
      <c r="V239" s="223"/>
    </row>
    <row r="240">
      <c r="M240" s="127"/>
      <c r="U240" s="127"/>
      <c r="V240" s="223"/>
    </row>
    <row r="241">
      <c r="M241" s="127"/>
      <c r="U241" s="127"/>
      <c r="V241" s="223"/>
    </row>
    <row r="242">
      <c r="M242" s="127"/>
      <c r="U242" s="127"/>
      <c r="V242" s="223"/>
    </row>
    <row r="243">
      <c r="M243" s="127"/>
      <c r="U243" s="127"/>
      <c r="V243" s="223"/>
    </row>
    <row r="244">
      <c r="M244" s="127"/>
      <c r="U244" s="127"/>
      <c r="V244" s="223"/>
    </row>
    <row r="245">
      <c r="M245" s="127"/>
      <c r="U245" s="127"/>
      <c r="V245" s="223"/>
    </row>
    <row r="246">
      <c r="M246" s="127"/>
      <c r="U246" s="127"/>
      <c r="V246" s="223"/>
    </row>
    <row r="247">
      <c r="M247" s="127"/>
      <c r="U247" s="127"/>
      <c r="V247" s="223"/>
    </row>
    <row r="248">
      <c r="M248" s="127"/>
      <c r="U248" s="127"/>
      <c r="V248" s="223"/>
    </row>
    <row r="249">
      <c r="M249" s="127"/>
      <c r="U249" s="127"/>
      <c r="V249" s="223"/>
    </row>
    <row r="250">
      <c r="M250" s="127"/>
      <c r="U250" s="127"/>
      <c r="V250" s="223"/>
    </row>
    <row r="251">
      <c r="M251" s="127"/>
      <c r="U251" s="127"/>
      <c r="V251" s="223"/>
    </row>
    <row r="252">
      <c r="M252" s="127"/>
      <c r="U252" s="127"/>
      <c r="V252" s="223"/>
    </row>
    <row r="253">
      <c r="M253" s="127"/>
      <c r="U253" s="127"/>
      <c r="V253" s="223"/>
    </row>
    <row r="254">
      <c r="M254" s="127"/>
      <c r="U254" s="127"/>
      <c r="V254" s="223"/>
    </row>
    <row r="255">
      <c r="M255" s="127"/>
      <c r="U255" s="127"/>
      <c r="V255" s="223"/>
    </row>
    <row r="256">
      <c r="M256" s="127"/>
      <c r="U256" s="127"/>
      <c r="V256" s="223"/>
    </row>
    <row r="257">
      <c r="M257" s="127"/>
      <c r="U257" s="127"/>
      <c r="V257" s="223"/>
    </row>
    <row r="258">
      <c r="M258" s="127"/>
      <c r="U258" s="127"/>
      <c r="V258" s="223"/>
    </row>
    <row r="259">
      <c r="M259" s="127"/>
      <c r="U259" s="127"/>
      <c r="V259" s="223"/>
    </row>
    <row r="260">
      <c r="M260" s="127"/>
      <c r="U260" s="127"/>
      <c r="V260" s="223"/>
    </row>
    <row r="261">
      <c r="M261" s="127"/>
      <c r="U261" s="127"/>
      <c r="V261" s="223"/>
    </row>
    <row r="262">
      <c r="M262" s="127"/>
      <c r="U262" s="127"/>
      <c r="V262" s="223"/>
    </row>
    <row r="263">
      <c r="M263" s="127"/>
      <c r="U263" s="127"/>
      <c r="V263" s="223"/>
    </row>
    <row r="264">
      <c r="M264" s="127"/>
      <c r="U264" s="127"/>
      <c r="V264" s="223"/>
    </row>
    <row r="265">
      <c r="M265" s="127"/>
      <c r="U265" s="127"/>
      <c r="V265" s="223"/>
    </row>
    <row r="266">
      <c r="M266" s="127"/>
      <c r="U266" s="127"/>
      <c r="V266" s="223"/>
    </row>
    <row r="267">
      <c r="M267" s="127"/>
      <c r="U267" s="127"/>
      <c r="V267" s="223"/>
    </row>
    <row r="268">
      <c r="M268" s="127"/>
      <c r="U268" s="127"/>
      <c r="V268" s="223"/>
    </row>
    <row r="269">
      <c r="M269" s="127"/>
      <c r="U269" s="127"/>
      <c r="V269" s="223"/>
    </row>
    <row r="270">
      <c r="M270" s="127"/>
      <c r="U270" s="127"/>
      <c r="V270" s="223"/>
    </row>
    <row r="271">
      <c r="M271" s="127"/>
      <c r="U271" s="127"/>
      <c r="V271" s="223"/>
    </row>
    <row r="272">
      <c r="M272" s="127"/>
      <c r="U272" s="127"/>
      <c r="V272" s="223"/>
    </row>
    <row r="273">
      <c r="M273" s="127"/>
      <c r="U273" s="127"/>
      <c r="V273" s="223"/>
    </row>
    <row r="274">
      <c r="M274" s="127"/>
      <c r="U274" s="127"/>
      <c r="V274" s="223"/>
    </row>
    <row r="275">
      <c r="M275" s="127"/>
      <c r="U275" s="127"/>
      <c r="V275" s="223"/>
    </row>
    <row r="276">
      <c r="M276" s="127"/>
      <c r="U276" s="127"/>
      <c r="V276" s="223"/>
    </row>
    <row r="277">
      <c r="M277" s="127"/>
      <c r="U277" s="127"/>
      <c r="V277" s="223"/>
    </row>
    <row r="278">
      <c r="M278" s="127"/>
      <c r="U278" s="127"/>
      <c r="V278" s="223"/>
    </row>
    <row r="279">
      <c r="M279" s="127"/>
      <c r="U279" s="127"/>
      <c r="V279" s="223"/>
    </row>
    <row r="280">
      <c r="M280" s="127"/>
      <c r="U280" s="127"/>
      <c r="V280" s="223"/>
    </row>
    <row r="281">
      <c r="M281" s="127"/>
      <c r="U281" s="127"/>
      <c r="V281" s="223"/>
    </row>
    <row r="282">
      <c r="M282" s="127"/>
      <c r="U282" s="127"/>
      <c r="V282" s="223"/>
    </row>
    <row r="283">
      <c r="M283" s="127"/>
      <c r="U283" s="127"/>
      <c r="V283" s="223"/>
    </row>
    <row r="284">
      <c r="M284" s="127"/>
      <c r="U284" s="127"/>
      <c r="V284" s="223"/>
    </row>
    <row r="285">
      <c r="M285" s="127"/>
      <c r="U285" s="127"/>
      <c r="V285" s="223"/>
    </row>
    <row r="286">
      <c r="M286" s="127"/>
      <c r="U286" s="127"/>
      <c r="V286" s="223"/>
    </row>
    <row r="287">
      <c r="M287" s="127"/>
      <c r="U287" s="127"/>
      <c r="V287" s="223"/>
    </row>
    <row r="288">
      <c r="M288" s="127"/>
      <c r="U288" s="127"/>
      <c r="V288" s="223"/>
    </row>
    <row r="289">
      <c r="M289" s="127"/>
      <c r="U289" s="127"/>
      <c r="V289" s="223"/>
    </row>
    <row r="290">
      <c r="M290" s="127"/>
      <c r="U290" s="127"/>
      <c r="V290" s="223"/>
    </row>
    <row r="291">
      <c r="M291" s="127"/>
      <c r="U291" s="127"/>
      <c r="V291" s="223"/>
    </row>
    <row r="292">
      <c r="M292" s="127"/>
      <c r="U292" s="127"/>
      <c r="V292" s="223"/>
    </row>
    <row r="293">
      <c r="M293" s="127"/>
      <c r="U293" s="127"/>
      <c r="V293" s="223"/>
    </row>
    <row r="294">
      <c r="M294" s="127"/>
      <c r="U294" s="127"/>
      <c r="V294" s="223"/>
    </row>
    <row r="295">
      <c r="M295" s="127"/>
      <c r="U295" s="127"/>
      <c r="V295" s="223"/>
    </row>
    <row r="296">
      <c r="M296" s="127"/>
      <c r="U296" s="127"/>
      <c r="V296" s="223"/>
    </row>
    <row r="297">
      <c r="M297" s="127"/>
      <c r="U297" s="127"/>
      <c r="V297" s="223"/>
    </row>
    <row r="298">
      <c r="M298" s="127"/>
      <c r="U298" s="127"/>
      <c r="V298" s="223"/>
    </row>
    <row r="299">
      <c r="M299" s="127"/>
      <c r="U299" s="127"/>
      <c r="V299" s="223"/>
    </row>
    <row r="300">
      <c r="M300" s="127"/>
      <c r="U300" s="127"/>
      <c r="V300" s="223"/>
    </row>
    <row r="301">
      <c r="M301" s="127"/>
      <c r="U301" s="127"/>
      <c r="V301" s="223"/>
    </row>
    <row r="302">
      <c r="M302" s="127"/>
      <c r="U302" s="127"/>
      <c r="V302" s="223"/>
    </row>
    <row r="303">
      <c r="M303" s="127"/>
      <c r="U303" s="127"/>
      <c r="V303" s="223"/>
    </row>
    <row r="304">
      <c r="M304" s="127"/>
      <c r="U304" s="127"/>
      <c r="V304" s="223"/>
    </row>
    <row r="305">
      <c r="M305" s="127"/>
      <c r="U305" s="127"/>
      <c r="V305" s="223"/>
    </row>
    <row r="306">
      <c r="M306" s="127"/>
      <c r="U306" s="127"/>
      <c r="V306" s="223"/>
    </row>
    <row r="307">
      <c r="M307" s="127"/>
      <c r="U307" s="127"/>
      <c r="V307" s="223"/>
    </row>
    <row r="308">
      <c r="M308" s="127"/>
      <c r="U308" s="127"/>
      <c r="V308" s="223"/>
    </row>
    <row r="309">
      <c r="M309" s="127"/>
      <c r="U309" s="127"/>
      <c r="V309" s="223"/>
    </row>
    <row r="310">
      <c r="M310" s="127"/>
      <c r="U310" s="127"/>
      <c r="V310" s="223"/>
    </row>
    <row r="311">
      <c r="M311" s="127"/>
      <c r="U311" s="127"/>
      <c r="V311" s="223"/>
    </row>
    <row r="312">
      <c r="M312" s="127"/>
      <c r="U312" s="127"/>
      <c r="V312" s="223"/>
    </row>
    <row r="313">
      <c r="M313" s="127"/>
      <c r="U313" s="127"/>
      <c r="V313" s="223"/>
    </row>
    <row r="314">
      <c r="M314" s="127"/>
      <c r="U314" s="127"/>
      <c r="V314" s="223"/>
    </row>
    <row r="315">
      <c r="M315" s="127"/>
      <c r="U315" s="127"/>
      <c r="V315" s="223"/>
    </row>
    <row r="316">
      <c r="M316" s="127"/>
      <c r="U316" s="127"/>
      <c r="V316" s="223"/>
    </row>
    <row r="317">
      <c r="M317" s="127"/>
      <c r="U317" s="127"/>
      <c r="V317" s="223"/>
    </row>
    <row r="318">
      <c r="M318" s="127"/>
      <c r="U318" s="127"/>
      <c r="V318" s="223"/>
    </row>
    <row r="319">
      <c r="M319" s="127"/>
      <c r="U319" s="127"/>
      <c r="V319" s="223"/>
    </row>
    <row r="320">
      <c r="M320" s="127"/>
      <c r="U320" s="127"/>
      <c r="V320" s="223"/>
    </row>
    <row r="321">
      <c r="M321" s="127"/>
      <c r="U321" s="127"/>
      <c r="V321" s="223"/>
    </row>
    <row r="322">
      <c r="M322" s="127"/>
      <c r="U322" s="127"/>
      <c r="V322" s="223"/>
    </row>
    <row r="323">
      <c r="M323" s="127"/>
      <c r="U323" s="127"/>
      <c r="V323" s="223"/>
    </row>
    <row r="324">
      <c r="M324" s="127"/>
      <c r="U324" s="127"/>
      <c r="V324" s="223"/>
    </row>
    <row r="325">
      <c r="M325" s="127"/>
      <c r="U325" s="127"/>
      <c r="V325" s="223"/>
    </row>
    <row r="326">
      <c r="M326" s="127"/>
      <c r="U326" s="127"/>
      <c r="V326" s="223"/>
    </row>
    <row r="327">
      <c r="M327" s="127"/>
      <c r="U327" s="127"/>
      <c r="V327" s="223"/>
    </row>
    <row r="328">
      <c r="M328" s="127"/>
      <c r="U328" s="127"/>
      <c r="V328" s="223"/>
    </row>
    <row r="329">
      <c r="M329" s="127"/>
      <c r="U329" s="127"/>
      <c r="V329" s="223"/>
    </row>
    <row r="330">
      <c r="M330" s="127"/>
      <c r="U330" s="127"/>
      <c r="V330" s="223"/>
    </row>
    <row r="331">
      <c r="M331" s="127"/>
      <c r="U331" s="127"/>
      <c r="V331" s="223"/>
    </row>
    <row r="332">
      <c r="M332" s="127"/>
      <c r="U332" s="127"/>
      <c r="V332" s="223"/>
    </row>
    <row r="333">
      <c r="M333" s="127"/>
      <c r="U333" s="127"/>
      <c r="V333" s="223"/>
    </row>
    <row r="334">
      <c r="M334" s="127"/>
      <c r="U334" s="127"/>
      <c r="V334" s="223"/>
    </row>
    <row r="335">
      <c r="M335" s="127"/>
      <c r="U335" s="127"/>
      <c r="V335" s="223"/>
    </row>
    <row r="336">
      <c r="M336" s="127"/>
      <c r="U336" s="127"/>
      <c r="V336" s="223"/>
    </row>
    <row r="337">
      <c r="M337" s="127"/>
      <c r="U337" s="127"/>
      <c r="V337" s="223"/>
    </row>
    <row r="338">
      <c r="M338" s="127"/>
      <c r="U338" s="127"/>
      <c r="V338" s="223"/>
    </row>
    <row r="339">
      <c r="M339" s="127"/>
      <c r="U339" s="127"/>
      <c r="V339" s="223"/>
    </row>
    <row r="340">
      <c r="M340" s="127"/>
      <c r="U340" s="127"/>
      <c r="V340" s="223"/>
    </row>
    <row r="341">
      <c r="M341" s="127"/>
      <c r="U341" s="127"/>
      <c r="V341" s="223"/>
    </row>
    <row r="342">
      <c r="M342" s="127"/>
      <c r="U342" s="127"/>
      <c r="V342" s="223"/>
    </row>
    <row r="343">
      <c r="M343" s="127"/>
      <c r="U343" s="127"/>
      <c r="V343" s="223"/>
    </row>
    <row r="344">
      <c r="M344" s="127"/>
      <c r="U344" s="127"/>
      <c r="V344" s="223"/>
    </row>
    <row r="345">
      <c r="M345" s="127"/>
      <c r="U345" s="127"/>
      <c r="V345" s="223"/>
    </row>
    <row r="346">
      <c r="M346" s="127"/>
      <c r="U346" s="127"/>
      <c r="V346" s="223"/>
    </row>
    <row r="347">
      <c r="M347" s="127"/>
      <c r="U347" s="127"/>
      <c r="V347" s="223"/>
    </row>
    <row r="348">
      <c r="M348" s="127"/>
      <c r="U348" s="127"/>
      <c r="V348" s="223"/>
    </row>
    <row r="349">
      <c r="M349" s="127"/>
      <c r="U349" s="127"/>
      <c r="V349" s="223"/>
    </row>
    <row r="350">
      <c r="M350" s="127"/>
      <c r="U350" s="127"/>
      <c r="V350" s="223"/>
    </row>
    <row r="351">
      <c r="M351" s="127"/>
      <c r="U351" s="127"/>
      <c r="V351" s="223"/>
    </row>
    <row r="352">
      <c r="M352" s="127"/>
      <c r="U352" s="127"/>
      <c r="V352" s="223"/>
    </row>
    <row r="353">
      <c r="M353" s="127"/>
      <c r="U353" s="127"/>
      <c r="V353" s="223"/>
    </row>
    <row r="354">
      <c r="M354" s="127"/>
      <c r="U354" s="127"/>
      <c r="V354" s="223"/>
    </row>
    <row r="355">
      <c r="M355" s="127"/>
      <c r="U355" s="127"/>
      <c r="V355" s="223"/>
    </row>
    <row r="356">
      <c r="M356" s="127"/>
      <c r="U356" s="127"/>
      <c r="V356" s="223"/>
    </row>
    <row r="357">
      <c r="M357" s="127"/>
      <c r="U357" s="127"/>
      <c r="V357" s="223"/>
    </row>
    <row r="358">
      <c r="M358" s="127"/>
      <c r="U358" s="127"/>
      <c r="V358" s="223"/>
    </row>
    <row r="359">
      <c r="M359" s="127"/>
      <c r="U359" s="127"/>
      <c r="V359" s="223"/>
    </row>
    <row r="360">
      <c r="M360" s="127"/>
      <c r="U360" s="127"/>
      <c r="V360" s="223"/>
    </row>
    <row r="361">
      <c r="M361" s="127"/>
      <c r="U361" s="127"/>
      <c r="V361" s="223"/>
    </row>
    <row r="362">
      <c r="M362" s="127"/>
      <c r="U362" s="127"/>
      <c r="V362" s="223"/>
    </row>
    <row r="363">
      <c r="M363" s="127"/>
      <c r="U363" s="127"/>
      <c r="V363" s="223"/>
    </row>
    <row r="364">
      <c r="M364" s="127"/>
      <c r="U364" s="127"/>
      <c r="V364" s="223"/>
    </row>
    <row r="365">
      <c r="M365" s="127"/>
      <c r="U365" s="127"/>
      <c r="V365" s="223"/>
    </row>
    <row r="366">
      <c r="M366" s="127"/>
      <c r="U366" s="127"/>
      <c r="V366" s="223"/>
    </row>
    <row r="367">
      <c r="M367" s="127"/>
      <c r="U367" s="127"/>
      <c r="V367" s="223"/>
    </row>
    <row r="368">
      <c r="M368" s="127"/>
      <c r="U368" s="127"/>
      <c r="V368" s="223"/>
    </row>
    <row r="369">
      <c r="M369" s="127"/>
      <c r="U369" s="127"/>
      <c r="V369" s="223"/>
    </row>
    <row r="370">
      <c r="M370" s="127"/>
      <c r="U370" s="127"/>
      <c r="V370" s="223"/>
    </row>
    <row r="371">
      <c r="M371" s="127"/>
      <c r="U371" s="127"/>
      <c r="V371" s="223"/>
    </row>
    <row r="372">
      <c r="M372" s="127"/>
      <c r="U372" s="127"/>
      <c r="V372" s="223"/>
    </row>
    <row r="373">
      <c r="M373" s="127"/>
      <c r="U373" s="127"/>
      <c r="V373" s="223"/>
    </row>
    <row r="374">
      <c r="M374" s="127"/>
      <c r="U374" s="127"/>
      <c r="V374" s="223"/>
    </row>
    <row r="375">
      <c r="M375" s="127"/>
      <c r="U375" s="127"/>
      <c r="V375" s="223"/>
    </row>
    <row r="376">
      <c r="M376" s="127"/>
      <c r="U376" s="127"/>
      <c r="V376" s="223"/>
    </row>
    <row r="377">
      <c r="M377" s="127"/>
      <c r="U377" s="127"/>
      <c r="V377" s="223"/>
    </row>
    <row r="378">
      <c r="M378" s="127"/>
      <c r="U378" s="127"/>
      <c r="V378" s="223"/>
    </row>
    <row r="379">
      <c r="M379" s="127"/>
      <c r="U379" s="127"/>
      <c r="V379" s="223"/>
    </row>
    <row r="380">
      <c r="M380" s="127"/>
      <c r="U380" s="127"/>
      <c r="V380" s="223"/>
    </row>
    <row r="381">
      <c r="M381" s="127"/>
      <c r="U381" s="127"/>
      <c r="V381" s="223"/>
    </row>
    <row r="382">
      <c r="M382" s="127"/>
      <c r="U382" s="127"/>
      <c r="V382" s="223"/>
    </row>
    <row r="383">
      <c r="M383" s="127"/>
      <c r="U383" s="127"/>
      <c r="V383" s="223"/>
    </row>
    <row r="384">
      <c r="M384" s="127"/>
      <c r="U384" s="127"/>
      <c r="V384" s="223"/>
    </row>
    <row r="385">
      <c r="M385" s="127"/>
      <c r="U385" s="127"/>
      <c r="V385" s="223"/>
    </row>
    <row r="386">
      <c r="M386" s="127"/>
      <c r="U386" s="127"/>
      <c r="V386" s="223"/>
    </row>
    <row r="387">
      <c r="M387" s="127"/>
      <c r="U387" s="127"/>
      <c r="V387" s="223"/>
    </row>
    <row r="388">
      <c r="M388" s="127"/>
      <c r="U388" s="127"/>
      <c r="V388" s="223"/>
    </row>
    <row r="389">
      <c r="M389" s="127"/>
      <c r="U389" s="127"/>
      <c r="V389" s="223"/>
    </row>
    <row r="390">
      <c r="M390" s="127"/>
      <c r="U390" s="127"/>
      <c r="V390" s="223"/>
    </row>
    <row r="391">
      <c r="M391" s="127"/>
      <c r="U391" s="127"/>
      <c r="V391" s="223"/>
    </row>
    <row r="392">
      <c r="M392" s="127"/>
      <c r="U392" s="127"/>
      <c r="V392" s="223"/>
    </row>
    <row r="393">
      <c r="M393" s="127"/>
      <c r="U393" s="127"/>
      <c r="V393" s="223"/>
    </row>
    <row r="394">
      <c r="M394" s="127"/>
      <c r="U394" s="127"/>
      <c r="V394" s="223"/>
    </row>
    <row r="395">
      <c r="M395" s="127"/>
      <c r="U395" s="127"/>
      <c r="V395" s="223"/>
    </row>
    <row r="396">
      <c r="M396" s="127"/>
      <c r="U396" s="127"/>
      <c r="V396" s="223"/>
    </row>
    <row r="397">
      <c r="M397" s="127"/>
      <c r="U397" s="127"/>
      <c r="V397" s="223"/>
    </row>
    <row r="398">
      <c r="M398" s="127"/>
      <c r="U398" s="127"/>
      <c r="V398" s="223"/>
    </row>
    <row r="399">
      <c r="M399" s="127"/>
      <c r="U399" s="127"/>
      <c r="V399" s="223"/>
    </row>
    <row r="400">
      <c r="M400" s="127"/>
      <c r="U400" s="127"/>
      <c r="V400" s="223"/>
    </row>
    <row r="401">
      <c r="M401" s="127"/>
      <c r="U401" s="127"/>
      <c r="V401" s="223"/>
    </row>
    <row r="402">
      <c r="M402" s="127"/>
      <c r="U402" s="127"/>
      <c r="V402" s="223"/>
    </row>
    <row r="403">
      <c r="M403" s="127"/>
      <c r="U403" s="127"/>
      <c r="V403" s="223"/>
    </row>
    <row r="404">
      <c r="M404" s="127"/>
      <c r="U404" s="127"/>
      <c r="V404" s="223"/>
    </row>
    <row r="405">
      <c r="M405" s="127"/>
      <c r="U405" s="127"/>
      <c r="V405" s="223"/>
    </row>
    <row r="406">
      <c r="M406" s="127"/>
      <c r="U406" s="127"/>
      <c r="V406" s="223"/>
    </row>
    <row r="407">
      <c r="M407" s="127"/>
      <c r="U407" s="127"/>
      <c r="V407" s="223"/>
    </row>
    <row r="408">
      <c r="M408" s="127"/>
      <c r="U408" s="127"/>
      <c r="V408" s="223"/>
    </row>
    <row r="409">
      <c r="M409" s="127"/>
      <c r="U409" s="127"/>
      <c r="V409" s="223"/>
    </row>
    <row r="410">
      <c r="M410" s="127"/>
      <c r="U410" s="127"/>
      <c r="V410" s="223"/>
    </row>
    <row r="411">
      <c r="M411" s="127"/>
      <c r="U411" s="127"/>
      <c r="V411" s="223"/>
    </row>
    <row r="412">
      <c r="M412" s="127"/>
      <c r="U412" s="127"/>
      <c r="V412" s="223"/>
    </row>
    <row r="413">
      <c r="M413" s="127"/>
      <c r="U413" s="127"/>
      <c r="V413" s="223"/>
    </row>
    <row r="414">
      <c r="M414" s="127"/>
      <c r="U414" s="127"/>
      <c r="V414" s="223"/>
    </row>
    <row r="415">
      <c r="M415" s="127"/>
      <c r="U415" s="127"/>
      <c r="V415" s="223"/>
    </row>
    <row r="416">
      <c r="M416" s="127"/>
      <c r="U416" s="127"/>
      <c r="V416" s="223"/>
    </row>
    <row r="417">
      <c r="M417" s="127"/>
      <c r="U417" s="127"/>
      <c r="V417" s="223"/>
    </row>
    <row r="418">
      <c r="M418" s="127"/>
      <c r="U418" s="127"/>
      <c r="V418" s="223"/>
    </row>
    <row r="419">
      <c r="M419" s="127"/>
      <c r="U419" s="127"/>
      <c r="V419" s="223"/>
    </row>
    <row r="420">
      <c r="M420" s="127"/>
      <c r="U420" s="127"/>
      <c r="V420" s="223"/>
    </row>
    <row r="421">
      <c r="M421" s="127"/>
      <c r="U421" s="127"/>
      <c r="V421" s="223"/>
    </row>
    <row r="422">
      <c r="M422" s="127"/>
      <c r="U422" s="127"/>
      <c r="V422" s="223"/>
    </row>
    <row r="423">
      <c r="M423" s="127"/>
      <c r="U423" s="127"/>
      <c r="V423" s="223"/>
    </row>
    <row r="424">
      <c r="M424" s="127"/>
      <c r="U424" s="127"/>
      <c r="V424" s="223"/>
    </row>
    <row r="425">
      <c r="M425" s="127"/>
      <c r="U425" s="127"/>
      <c r="V425" s="223"/>
    </row>
    <row r="426">
      <c r="M426" s="127"/>
      <c r="U426" s="127"/>
      <c r="V426" s="223"/>
    </row>
    <row r="427">
      <c r="M427" s="127"/>
      <c r="U427" s="127"/>
      <c r="V427" s="223"/>
    </row>
    <row r="428">
      <c r="M428" s="127"/>
      <c r="U428" s="127"/>
      <c r="V428" s="223"/>
    </row>
    <row r="429">
      <c r="M429" s="127"/>
      <c r="U429" s="127"/>
      <c r="V429" s="223"/>
    </row>
    <row r="430">
      <c r="M430" s="127"/>
      <c r="U430" s="127"/>
      <c r="V430" s="223"/>
    </row>
    <row r="431">
      <c r="M431" s="127"/>
      <c r="U431" s="127"/>
      <c r="V431" s="223"/>
    </row>
    <row r="432">
      <c r="M432" s="127"/>
      <c r="U432" s="127"/>
      <c r="V432" s="223"/>
    </row>
    <row r="433">
      <c r="M433" s="127"/>
      <c r="U433" s="127"/>
      <c r="V433" s="223"/>
    </row>
    <row r="434">
      <c r="M434" s="127"/>
      <c r="U434" s="127"/>
      <c r="V434" s="223"/>
    </row>
    <row r="435">
      <c r="M435" s="127"/>
      <c r="U435" s="127"/>
      <c r="V435" s="223"/>
    </row>
    <row r="436">
      <c r="M436" s="127"/>
      <c r="U436" s="127"/>
      <c r="V436" s="223"/>
    </row>
    <row r="437">
      <c r="M437" s="127"/>
      <c r="U437" s="127"/>
      <c r="V437" s="223"/>
    </row>
    <row r="438">
      <c r="M438" s="127"/>
      <c r="U438" s="127"/>
      <c r="V438" s="223"/>
    </row>
    <row r="439">
      <c r="M439" s="127"/>
      <c r="U439" s="127"/>
      <c r="V439" s="223"/>
    </row>
    <row r="440">
      <c r="M440" s="127"/>
      <c r="U440" s="127"/>
      <c r="V440" s="223"/>
    </row>
    <row r="441">
      <c r="M441" s="127"/>
      <c r="U441" s="127"/>
      <c r="V441" s="223"/>
    </row>
    <row r="442">
      <c r="M442" s="127"/>
      <c r="U442" s="127"/>
      <c r="V442" s="223"/>
    </row>
    <row r="443">
      <c r="M443" s="127"/>
      <c r="U443" s="127"/>
      <c r="V443" s="223"/>
    </row>
    <row r="444">
      <c r="M444" s="127"/>
      <c r="U444" s="127"/>
      <c r="V444" s="223"/>
    </row>
    <row r="445">
      <c r="M445" s="127"/>
      <c r="U445" s="127"/>
      <c r="V445" s="223"/>
    </row>
    <row r="446">
      <c r="M446" s="127"/>
      <c r="U446" s="127"/>
      <c r="V446" s="223"/>
    </row>
    <row r="447">
      <c r="M447" s="127"/>
      <c r="U447" s="127"/>
      <c r="V447" s="223"/>
    </row>
    <row r="448">
      <c r="M448" s="127"/>
      <c r="U448" s="127"/>
      <c r="V448" s="223"/>
    </row>
    <row r="449">
      <c r="M449" s="127"/>
      <c r="U449" s="127"/>
      <c r="V449" s="223"/>
    </row>
    <row r="450">
      <c r="M450" s="127"/>
      <c r="U450" s="127"/>
      <c r="V450" s="223"/>
    </row>
    <row r="451">
      <c r="M451" s="127"/>
      <c r="U451" s="127"/>
      <c r="V451" s="223"/>
    </row>
    <row r="452">
      <c r="M452" s="127"/>
      <c r="U452" s="127"/>
      <c r="V452" s="223"/>
    </row>
    <row r="453">
      <c r="M453" s="127"/>
      <c r="U453" s="127"/>
      <c r="V453" s="223"/>
    </row>
    <row r="454">
      <c r="M454" s="127"/>
      <c r="U454" s="127"/>
      <c r="V454" s="223"/>
    </row>
    <row r="455">
      <c r="M455" s="127"/>
      <c r="U455" s="127"/>
      <c r="V455" s="223"/>
    </row>
    <row r="456">
      <c r="M456" s="127"/>
      <c r="U456" s="127"/>
      <c r="V456" s="223"/>
    </row>
    <row r="457">
      <c r="M457" s="127"/>
      <c r="U457" s="127"/>
      <c r="V457" s="223"/>
    </row>
    <row r="458">
      <c r="M458" s="127"/>
      <c r="U458" s="127"/>
      <c r="V458" s="223"/>
    </row>
    <row r="459">
      <c r="M459" s="127"/>
      <c r="U459" s="127"/>
      <c r="V459" s="223"/>
    </row>
    <row r="460">
      <c r="M460" s="127"/>
      <c r="U460" s="127"/>
      <c r="V460" s="223"/>
    </row>
    <row r="461">
      <c r="M461" s="127"/>
      <c r="U461" s="127"/>
      <c r="V461" s="223"/>
    </row>
    <row r="462">
      <c r="M462" s="127"/>
      <c r="U462" s="127"/>
      <c r="V462" s="223"/>
    </row>
    <row r="463">
      <c r="M463" s="127"/>
      <c r="U463" s="127"/>
      <c r="V463" s="223"/>
    </row>
    <row r="464">
      <c r="M464" s="127"/>
      <c r="U464" s="127"/>
      <c r="V464" s="223"/>
    </row>
    <row r="465">
      <c r="M465" s="127"/>
      <c r="U465" s="127"/>
      <c r="V465" s="223"/>
    </row>
    <row r="466">
      <c r="M466" s="127"/>
      <c r="U466" s="127"/>
      <c r="V466" s="223"/>
    </row>
    <row r="467">
      <c r="M467" s="127"/>
      <c r="U467" s="127"/>
      <c r="V467" s="223"/>
    </row>
    <row r="468">
      <c r="M468" s="127"/>
      <c r="U468" s="127"/>
      <c r="V468" s="223"/>
    </row>
    <row r="469">
      <c r="M469" s="127"/>
      <c r="U469" s="127"/>
      <c r="V469" s="223"/>
    </row>
    <row r="470">
      <c r="M470" s="127"/>
      <c r="U470" s="127"/>
      <c r="V470" s="223"/>
    </row>
    <row r="471">
      <c r="M471" s="127"/>
      <c r="U471" s="127"/>
      <c r="V471" s="223"/>
    </row>
    <row r="472">
      <c r="M472" s="127"/>
      <c r="U472" s="127"/>
      <c r="V472" s="223"/>
    </row>
    <row r="473">
      <c r="M473" s="127"/>
      <c r="U473" s="127"/>
      <c r="V473" s="223"/>
    </row>
    <row r="474">
      <c r="M474" s="127"/>
      <c r="U474" s="127"/>
      <c r="V474" s="223"/>
    </row>
    <row r="475">
      <c r="M475" s="127"/>
      <c r="U475" s="127"/>
      <c r="V475" s="223"/>
    </row>
    <row r="476">
      <c r="M476" s="127"/>
      <c r="U476" s="127"/>
      <c r="V476" s="223"/>
    </row>
    <row r="477">
      <c r="M477" s="127"/>
      <c r="U477" s="127"/>
      <c r="V477" s="223"/>
    </row>
    <row r="478">
      <c r="M478" s="127"/>
      <c r="U478" s="127"/>
      <c r="V478" s="223"/>
    </row>
    <row r="479">
      <c r="M479" s="127"/>
      <c r="U479" s="127"/>
      <c r="V479" s="223"/>
    </row>
    <row r="480">
      <c r="M480" s="127"/>
      <c r="U480" s="127"/>
      <c r="V480" s="223"/>
    </row>
    <row r="481">
      <c r="M481" s="127"/>
      <c r="U481" s="127"/>
      <c r="V481" s="223"/>
    </row>
    <row r="482">
      <c r="M482" s="127"/>
      <c r="U482" s="127"/>
      <c r="V482" s="223"/>
    </row>
    <row r="483">
      <c r="M483" s="127"/>
      <c r="U483" s="127"/>
      <c r="V483" s="223"/>
    </row>
    <row r="484">
      <c r="M484" s="127"/>
      <c r="U484" s="127"/>
      <c r="V484" s="223"/>
    </row>
    <row r="485">
      <c r="M485" s="127"/>
      <c r="U485" s="127"/>
      <c r="V485" s="223"/>
    </row>
    <row r="486">
      <c r="M486" s="127"/>
      <c r="U486" s="127"/>
      <c r="V486" s="223"/>
    </row>
    <row r="487">
      <c r="M487" s="127"/>
      <c r="U487" s="127"/>
      <c r="V487" s="223"/>
    </row>
    <row r="488">
      <c r="M488" s="127"/>
      <c r="U488" s="127"/>
      <c r="V488" s="223"/>
    </row>
    <row r="489">
      <c r="M489" s="127"/>
      <c r="U489" s="127"/>
      <c r="V489" s="223"/>
    </row>
    <row r="490">
      <c r="M490" s="127"/>
      <c r="U490" s="127"/>
      <c r="V490" s="223"/>
    </row>
    <row r="491">
      <c r="M491" s="127"/>
      <c r="U491" s="127"/>
      <c r="V491" s="223"/>
    </row>
    <row r="492">
      <c r="M492" s="127"/>
      <c r="U492" s="127"/>
      <c r="V492" s="223"/>
    </row>
    <row r="493">
      <c r="M493" s="127"/>
      <c r="U493" s="127"/>
      <c r="V493" s="223"/>
    </row>
    <row r="494">
      <c r="M494" s="127"/>
      <c r="U494" s="127"/>
      <c r="V494" s="223"/>
    </row>
    <row r="495">
      <c r="M495" s="127"/>
      <c r="U495" s="127"/>
      <c r="V495" s="223"/>
    </row>
    <row r="496">
      <c r="M496" s="127"/>
      <c r="U496" s="127"/>
      <c r="V496" s="223"/>
    </row>
    <row r="497">
      <c r="M497" s="127"/>
      <c r="U497" s="127"/>
      <c r="V497" s="223"/>
    </row>
    <row r="498">
      <c r="M498" s="127"/>
      <c r="U498" s="127"/>
      <c r="V498" s="223"/>
    </row>
    <row r="499">
      <c r="M499" s="127"/>
      <c r="U499" s="127"/>
      <c r="V499" s="223"/>
    </row>
    <row r="500">
      <c r="M500" s="127"/>
      <c r="U500" s="127"/>
      <c r="V500" s="223"/>
    </row>
    <row r="501">
      <c r="M501" s="127"/>
      <c r="U501" s="127"/>
      <c r="V501" s="223"/>
    </row>
    <row r="502">
      <c r="M502" s="127"/>
      <c r="U502" s="127"/>
      <c r="V502" s="223"/>
    </row>
    <row r="503">
      <c r="M503" s="127"/>
      <c r="U503" s="127"/>
      <c r="V503" s="223"/>
    </row>
    <row r="504">
      <c r="M504" s="127"/>
      <c r="U504" s="127"/>
      <c r="V504" s="223"/>
    </row>
    <row r="505">
      <c r="M505" s="127"/>
      <c r="U505" s="127"/>
      <c r="V505" s="223"/>
    </row>
    <row r="506">
      <c r="M506" s="127"/>
      <c r="U506" s="127"/>
      <c r="V506" s="223"/>
    </row>
    <row r="507">
      <c r="M507" s="127"/>
      <c r="U507" s="127"/>
      <c r="V507" s="223"/>
    </row>
    <row r="508">
      <c r="M508" s="127"/>
      <c r="U508" s="127"/>
      <c r="V508" s="223"/>
    </row>
    <row r="509">
      <c r="M509" s="127"/>
      <c r="U509" s="127"/>
      <c r="V509" s="223"/>
    </row>
    <row r="510">
      <c r="M510" s="127"/>
      <c r="U510" s="127"/>
      <c r="V510" s="223"/>
    </row>
    <row r="511">
      <c r="M511" s="127"/>
      <c r="U511" s="127"/>
      <c r="V511" s="223"/>
    </row>
    <row r="512">
      <c r="M512" s="127"/>
      <c r="U512" s="127"/>
      <c r="V512" s="223"/>
    </row>
    <row r="513">
      <c r="M513" s="127"/>
      <c r="U513" s="127"/>
      <c r="V513" s="223"/>
    </row>
    <row r="514">
      <c r="M514" s="127"/>
      <c r="U514" s="127"/>
      <c r="V514" s="223"/>
    </row>
    <row r="515">
      <c r="M515" s="127"/>
      <c r="U515" s="127"/>
      <c r="V515" s="223"/>
    </row>
    <row r="516">
      <c r="M516" s="127"/>
      <c r="U516" s="127"/>
      <c r="V516" s="223"/>
    </row>
    <row r="517">
      <c r="M517" s="127"/>
      <c r="U517" s="127"/>
      <c r="V517" s="223"/>
    </row>
    <row r="518">
      <c r="M518" s="127"/>
      <c r="U518" s="127"/>
      <c r="V518" s="223"/>
    </row>
    <row r="519">
      <c r="M519" s="127"/>
      <c r="U519" s="127"/>
      <c r="V519" s="223"/>
    </row>
    <row r="520">
      <c r="M520" s="127"/>
      <c r="U520" s="127"/>
      <c r="V520" s="223"/>
    </row>
    <row r="521">
      <c r="M521" s="127"/>
      <c r="U521" s="127"/>
      <c r="V521" s="223"/>
    </row>
    <row r="522">
      <c r="M522" s="127"/>
      <c r="U522" s="127"/>
      <c r="V522" s="223"/>
    </row>
    <row r="523">
      <c r="M523" s="127"/>
      <c r="U523" s="127"/>
      <c r="V523" s="223"/>
    </row>
    <row r="524">
      <c r="M524" s="127"/>
      <c r="U524" s="127"/>
      <c r="V524" s="223"/>
    </row>
    <row r="525">
      <c r="M525" s="127"/>
      <c r="U525" s="127"/>
      <c r="V525" s="223"/>
    </row>
    <row r="526">
      <c r="M526" s="127"/>
      <c r="U526" s="127"/>
      <c r="V526" s="223"/>
    </row>
    <row r="527">
      <c r="M527" s="127"/>
      <c r="U527" s="127"/>
      <c r="V527" s="223"/>
    </row>
    <row r="528">
      <c r="M528" s="127"/>
      <c r="U528" s="127"/>
      <c r="V528" s="223"/>
    </row>
    <row r="529">
      <c r="M529" s="127"/>
      <c r="U529" s="127"/>
      <c r="V529" s="223"/>
    </row>
    <row r="530">
      <c r="M530" s="127"/>
      <c r="U530" s="127"/>
      <c r="V530" s="223"/>
    </row>
    <row r="531">
      <c r="M531" s="127"/>
      <c r="U531" s="127"/>
      <c r="V531" s="223"/>
    </row>
    <row r="532">
      <c r="M532" s="127"/>
      <c r="U532" s="127"/>
      <c r="V532" s="223"/>
    </row>
    <row r="533">
      <c r="M533" s="127"/>
      <c r="U533" s="127"/>
      <c r="V533" s="223"/>
    </row>
    <row r="534">
      <c r="M534" s="127"/>
      <c r="U534" s="127"/>
      <c r="V534" s="223"/>
    </row>
    <row r="535">
      <c r="M535" s="127"/>
      <c r="U535" s="127"/>
      <c r="V535" s="223"/>
    </row>
    <row r="536">
      <c r="M536" s="127"/>
      <c r="U536" s="127"/>
      <c r="V536" s="223"/>
    </row>
    <row r="537">
      <c r="M537" s="127"/>
      <c r="U537" s="127"/>
      <c r="V537" s="223"/>
    </row>
    <row r="538">
      <c r="M538" s="127"/>
      <c r="U538" s="127"/>
      <c r="V538" s="223"/>
    </row>
    <row r="539">
      <c r="M539" s="127"/>
      <c r="U539" s="127"/>
      <c r="V539" s="223"/>
    </row>
    <row r="540">
      <c r="M540" s="127"/>
      <c r="U540" s="127"/>
      <c r="V540" s="223"/>
    </row>
    <row r="541">
      <c r="M541" s="127"/>
      <c r="U541" s="127"/>
      <c r="V541" s="223"/>
    </row>
    <row r="542">
      <c r="M542" s="127"/>
      <c r="U542" s="127"/>
      <c r="V542" s="223"/>
    </row>
    <row r="543">
      <c r="M543" s="127"/>
      <c r="U543" s="127"/>
      <c r="V543" s="223"/>
    </row>
    <row r="544">
      <c r="M544" s="127"/>
      <c r="U544" s="127"/>
      <c r="V544" s="223"/>
    </row>
    <row r="545">
      <c r="M545" s="127"/>
      <c r="U545" s="127"/>
      <c r="V545" s="223"/>
    </row>
    <row r="546">
      <c r="M546" s="127"/>
      <c r="U546" s="127"/>
      <c r="V546" s="223"/>
    </row>
    <row r="547">
      <c r="M547" s="127"/>
      <c r="U547" s="127"/>
      <c r="V547" s="223"/>
    </row>
    <row r="548">
      <c r="M548" s="127"/>
      <c r="U548" s="127"/>
      <c r="V548" s="223"/>
    </row>
    <row r="549">
      <c r="M549" s="127"/>
      <c r="U549" s="127"/>
      <c r="V549" s="223"/>
    </row>
    <row r="550">
      <c r="M550" s="127"/>
      <c r="U550" s="127"/>
      <c r="V550" s="223"/>
    </row>
    <row r="551">
      <c r="M551" s="127"/>
      <c r="U551" s="127"/>
      <c r="V551" s="223"/>
    </row>
    <row r="552">
      <c r="M552" s="127"/>
      <c r="U552" s="127"/>
      <c r="V552" s="223"/>
    </row>
    <row r="553">
      <c r="M553" s="127"/>
      <c r="U553" s="127"/>
      <c r="V553" s="223"/>
    </row>
    <row r="554">
      <c r="M554" s="127"/>
      <c r="U554" s="127"/>
      <c r="V554" s="223"/>
    </row>
    <row r="555">
      <c r="M555" s="127"/>
      <c r="U555" s="127"/>
      <c r="V555" s="223"/>
    </row>
    <row r="556">
      <c r="M556" s="127"/>
      <c r="U556" s="127"/>
      <c r="V556" s="223"/>
    </row>
    <row r="557">
      <c r="M557" s="127"/>
      <c r="U557" s="127"/>
      <c r="V557" s="223"/>
    </row>
    <row r="558">
      <c r="M558" s="127"/>
      <c r="U558" s="127"/>
      <c r="V558" s="223"/>
    </row>
    <row r="559">
      <c r="M559" s="127"/>
      <c r="U559" s="127"/>
      <c r="V559" s="223"/>
    </row>
    <row r="560">
      <c r="M560" s="127"/>
      <c r="U560" s="127"/>
      <c r="V560" s="223"/>
    </row>
    <row r="561">
      <c r="M561" s="127"/>
      <c r="U561" s="127"/>
      <c r="V561" s="223"/>
    </row>
    <row r="562">
      <c r="M562" s="127"/>
      <c r="U562" s="127"/>
      <c r="V562" s="223"/>
    </row>
    <row r="563">
      <c r="M563" s="127"/>
      <c r="U563" s="127"/>
      <c r="V563" s="223"/>
    </row>
    <row r="564">
      <c r="M564" s="127"/>
      <c r="U564" s="127"/>
      <c r="V564" s="223"/>
    </row>
    <row r="565">
      <c r="M565" s="127"/>
      <c r="U565" s="127"/>
      <c r="V565" s="223"/>
    </row>
    <row r="566">
      <c r="M566" s="127"/>
      <c r="U566" s="127"/>
      <c r="V566" s="223"/>
    </row>
    <row r="567">
      <c r="M567" s="127"/>
      <c r="U567" s="127"/>
      <c r="V567" s="223"/>
    </row>
    <row r="568">
      <c r="M568" s="127"/>
      <c r="U568" s="127"/>
      <c r="V568" s="223"/>
    </row>
    <row r="569">
      <c r="M569" s="127"/>
      <c r="U569" s="127"/>
      <c r="V569" s="223"/>
    </row>
    <row r="570">
      <c r="M570" s="127"/>
      <c r="U570" s="127"/>
      <c r="V570" s="223"/>
    </row>
    <row r="571">
      <c r="M571" s="127"/>
      <c r="U571" s="127"/>
      <c r="V571" s="223"/>
    </row>
    <row r="572">
      <c r="M572" s="127"/>
      <c r="U572" s="127"/>
      <c r="V572" s="223"/>
    </row>
    <row r="573">
      <c r="M573" s="127"/>
      <c r="U573" s="127"/>
      <c r="V573" s="223"/>
    </row>
    <row r="574">
      <c r="M574" s="127"/>
      <c r="U574" s="127"/>
      <c r="V574" s="223"/>
    </row>
    <row r="575">
      <c r="M575" s="127"/>
      <c r="U575" s="127"/>
      <c r="V575" s="223"/>
    </row>
    <row r="576">
      <c r="M576" s="127"/>
      <c r="U576" s="127"/>
      <c r="V576" s="223"/>
    </row>
    <row r="577">
      <c r="M577" s="127"/>
      <c r="U577" s="127"/>
      <c r="V577" s="223"/>
    </row>
    <row r="578">
      <c r="M578" s="127"/>
      <c r="U578" s="127"/>
      <c r="V578" s="223"/>
    </row>
    <row r="579">
      <c r="M579" s="127"/>
      <c r="U579" s="127"/>
      <c r="V579" s="223"/>
    </row>
    <row r="580">
      <c r="M580" s="127"/>
      <c r="U580" s="127"/>
      <c r="V580" s="223"/>
    </row>
    <row r="581">
      <c r="M581" s="127"/>
      <c r="U581" s="127"/>
      <c r="V581" s="223"/>
    </row>
    <row r="582">
      <c r="M582" s="127"/>
      <c r="U582" s="127"/>
      <c r="V582" s="223"/>
    </row>
    <row r="583">
      <c r="M583" s="127"/>
      <c r="U583" s="127"/>
      <c r="V583" s="223"/>
    </row>
    <row r="584">
      <c r="M584" s="127"/>
      <c r="U584" s="127"/>
      <c r="V584" s="223"/>
    </row>
    <row r="585">
      <c r="M585" s="127"/>
      <c r="U585" s="127"/>
      <c r="V585" s="223"/>
    </row>
    <row r="586">
      <c r="M586" s="127"/>
      <c r="U586" s="127"/>
      <c r="V586" s="223"/>
    </row>
    <row r="587">
      <c r="M587" s="127"/>
      <c r="U587" s="127"/>
      <c r="V587" s="223"/>
    </row>
    <row r="588">
      <c r="M588" s="127"/>
      <c r="U588" s="127"/>
      <c r="V588" s="223"/>
    </row>
    <row r="589">
      <c r="M589" s="127"/>
      <c r="U589" s="127"/>
      <c r="V589" s="223"/>
    </row>
    <row r="590">
      <c r="M590" s="127"/>
      <c r="U590" s="127"/>
      <c r="V590" s="223"/>
    </row>
    <row r="591">
      <c r="M591" s="127"/>
      <c r="U591" s="127"/>
      <c r="V591" s="223"/>
    </row>
    <row r="592">
      <c r="M592" s="127"/>
      <c r="U592" s="127"/>
      <c r="V592" s="223"/>
    </row>
    <row r="593">
      <c r="M593" s="127"/>
      <c r="U593" s="127"/>
      <c r="V593" s="223"/>
    </row>
    <row r="594">
      <c r="M594" s="127"/>
      <c r="U594" s="127"/>
      <c r="V594" s="223"/>
    </row>
    <row r="595">
      <c r="M595" s="127"/>
      <c r="U595" s="127"/>
      <c r="V595" s="223"/>
    </row>
    <row r="596">
      <c r="M596" s="127"/>
      <c r="U596" s="127"/>
      <c r="V596" s="223"/>
    </row>
    <row r="597">
      <c r="M597" s="127"/>
      <c r="U597" s="127"/>
      <c r="V597" s="223"/>
    </row>
    <row r="598">
      <c r="M598" s="127"/>
      <c r="U598" s="127"/>
      <c r="V598" s="223"/>
    </row>
    <row r="599">
      <c r="M599" s="127"/>
      <c r="U599" s="127"/>
      <c r="V599" s="223"/>
    </row>
    <row r="600">
      <c r="M600" s="127"/>
      <c r="U600" s="127"/>
      <c r="V600" s="223"/>
    </row>
    <row r="601">
      <c r="M601" s="127"/>
      <c r="U601" s="127"/>
      <c r="V601" s="223"/>
    </row>
    <row r="602">
      <c r="M602" s="127"/>
      <c r="U602" s="127"/>
      <c r="V602" s="223"/>
    </row>
    <row r="603">
      <c r="M603" s="127"/>
      <c r="U603" s="127"/>
      <c r="V603" s="223"/>
    </row>
    <row r="604">
      <c r="M604" s="127"/>
      <c r="U604" s="127"/>
      <c r="V604" s="223"/>
    </row>
    <row r="605">
      <c r="M605" s="127"/>
      <c r="U605" s="127"/>
      <c r="V605" s="223"/>
    </row>
    <row r="606">
      <c r="M606" s="127"/>
      <c r="U606" s="127"/>
      <c r="V606" s="223"/>
    </row>
    <row r="607">
      <c r="M607" s="127"/>
      <c r="U607" s="127"/>
      <c r="V607" s="223"/>
    </row>
    <row r="608">
      <c r="M608" s="127"/>
      <c r="U608" s="127"/>
      <c r="V608" s="223"/>
    </row>
    <row r="609">
      <c r="M609" s="127"/>
      <c r="U609" s="127"/>
      <c r="V609" s="223"/>
    </row>
    <row r="610">
      <c r="M610" s="127"/>
      <c r="U610" s="127"/>
      <c r="V610" s="223"/>
    </row>
    <row r="611">
      <c r="M611" s="127"/>
      <c r="U611" s="127"/>
      <c r="V611" s="223"/>
    </row>
    <row r="612">
      <c r="M612" s="127"/>
      <c r="U612" s="127"/>
      <c r="V612" s="223"/>
    </row>
    <row r="613">
      <c r="M613" s="127"/>
      <c r="U613" s="127"/>
      <c r="V613" s="223"/>
    </row>
    <row r="614">
      <c r="M614" s="127"/>
      <c r="U614" s="127"/>
      <c r="V614" s="223"/>
    </row>
    <row r="615">
      <c r="M615" s="127"/>
      <c r="U615" s="127"/>
      <c r="V615" s="223"/>
    </row>
    <row r="616">
      <c r="M616" s="127"/>
      <c r="U616" s="127"/>
      <c r="V616" s="223"/>
    </row>
    <row r="617">
      <c r="M617" s="127"/>
      <c r="U617" s="127"/>
      <c r="V617" s="223"/>
    </row>
    <row r="618">
      <c r="M618" s="127"/>
      <c r="U618" s="127"/>
      <c r="V618" s="223"/>
    </row>
    <row r="619">
      <c r="M619" s="127"/>
      <c r="U619" s="127"/>
      <c r="V619" s="223"/>
    </row>
    <row r="620">
      <c r="M620" s="127"/>
      <c r="U620" s="127"/>
      <c r="V620" s="223"/>
    </row>
    <row r="621">
      <c r="M621" s="127"/>
      <c r="U621" s="127"/>
      <c r="V621" s="223"/>
    </row>
    <row r="622">
      <c r="M622" s="127"/>
      <c r="U622" s="127"/>
      <c r="V622" s="223"/>
    </row>
    <row r="623">
      <c r="M623" s="127"/>
      <c r="U623" s="127"/>
      <c r="V623" s="223"/>
    </row>
    <row r="624">
      <c r="M624" s="127"/>
      <c r="U624" s="127"/>
      <c r="V624" s="223"/>
    </row>
    <row r="625">
      <c r="M625" s="127"/>
      <c r="U625" s="127"/>
      <c r="V625" s="223"/>
    </row>
    <row r="626">
      <c r="M626" s="127"/>
      <c r="U626" s="127"/>
      <c r="V626" s="223"/>
    </row>
    <row r="627">
      <c r="M627" s="127"/>
      <c r="U627" s="127"/>
      <c r="V627" s="223"/>
    </row>
    <row r="628">
      <c r="M628" s="127"/>
      <c r="U628" s="127"/>
      <c r="V628" s="223"/>
    </row>
    <row r="629">
      <c r="M629" s="127"/>
      <c r="U629" s="127"/>
      <c r="V629" s="223"/>
    </row>
    <row r="630">
      <c r="M630" s="127"/>
      <c r="U630" s="127"/>
      <c r="V630" s="223"/>
    </row>
    <row r="631">
      <c r="M631" s="127"/>
      <c r="U631" s="127"/>
      <c r="V631" s="223"/>
    </row>
    <row r="632">
      <c r="M632" s="127"/>
      <c r="U632" s="127"/>
      <c r="V632" s="223"/>
    </row>
    <row r="633">
      <c r="M633" s="127"/>
      <c r="U633" s="127"/>
      <c r="V633" s="223"/>
    </row>
    <row r="634">
      <c r="M634" s="127"/>
      <c r="U634" s="127"/>
      <c r="V634" s="223"/>
    </row>
    <row r="635">
      <c r="M635" s="127"/>
      <c r="U635" s="127"/>
      <c r="V635" s="223"/>
    </row>
    <row r="636">
      <c r="M636" s="127"/>
      <c r="U636" s="127"/>
      <c r="V636" s="223"/>
    </row>
    <row r="637">
      <c r="M637" s="127"/>
      <c r="U637" s="127"/>
      <c r="V637" s="223"/>
    </row>
    <row r="638">
      <c r="M638" s="127"/>
      <c r="U638" s="127"/>
      <c r="V638" s="223"/>
    </row>
    <row r="639">
      <c r="M639" s="127"/>
      <c r="U639" s="127"/>
      <c r="V639" s="223"/>
    </row>
    <row r="640">
      <c r="M640" s="127"/>
      <c r="U640" s="127"/>
      <c r="V640" s="223"/>
    </row>
    <row r="641">
      <c r="M641" s="127"/>
      <c r="U641" s="127"/>
      <c r="V641" s="223"/>
    </row>
    <row r="642">
      <c r="M642" s="127"/>
      <c r="U642" s="127"/>
      <c r="V642" s="223"/>
    </row>
    <row r="643">
      <c r="M643" s="127"/>
      <c r="U643" s="127"/>
      <c r="V643" s="223"/>
    </row>
    <row r="644">
      <c r="M644" s="127"/>
      <c r="U644" s="127"/>
      <c r="V644" s="223"/>
    </row>
    <row r="645">
      <c r="M645" s="127"/>
      <c r="U645" s="127"/>
      <c r="V645" s="223"/>
    </row>
    <row r="646">
      <c r="M646" s="127"/>
      <c r="U646" s="127"/>
      <c r="V646" s="223"/>
    </row>
    <row r="647">
      <c r="M647" s="127"/>
      <c r="U647" s="127"/>
      <c r="V647" s="223"/>
    </row>
    <row r="648">
      <c r="M648" s="127"/>
      <c r="U648" s="127"/>
      <c r="V648" s="223"/>
    </row>
    <row r="649">
      <c r="M649" s="127"/>
      <c r="U649" s="127"/>
      <c r="V649" s="223"/>
    </row>
    <row r="650">
      <c r="M650" s="127"/>
      <c r="U650" s="127"/>
      <c r="V650" s="223"/>
    </row>
    <row r="651">
      <c r="M651" s="127"/>
      <c r="U651" s="127"/>
      <c r="V651" s="223"/>
    </row>
    <row r="652">
      <c r="M652" s="127"/>
      <c r="U652" s="127"/>
      <c r="V652" s="223"/>
    </row>
    <row r="653">
      <c r="M653" s="127"/>
      <c r="U653" s="127"/>
      <c r="V653" s="223"/>
    </row>
    <row r="654">
      <c r="M654" s="127"/>
      <c r="U654" s="127"/>
      <c r="V654" s="223"/>
    </row>
    <row r="655">
      <c r="M655" s="127"/>
      <c r="U655" s="127"/>
      <c r="V655" s="223"/>
    </row>
    <row r="656">
      <c r="M656" s="127"/>
      <c r="U656" s="127"/>
      <c r="V656" s="223"/>
    </row>
    <row r="657">
      <c r="M657" s="127"/>
      <c r="U657" s="127"/>
      <c r="V657" s="223"/>
    </row>
    <row r="658">
      <c r="M658" s="127"/>
      <c r="U658" s="127"/>
      <c r="V658" s="223"/>
    </row>
    <row r="659">
      <c r="M659" s="127"/>
      <c r="U659" s="127"/>
      <c r="V659" s="223"/>
    </row>
    <row r="660">
      <c r="M660" s="127"/>
      <c r="U660" s="127"/>
      <c r="V660" s="223"/>
    </row>
    <row r="661">
      <c r="M661" s="127"/>
      <c r="U661" s="127"/>
      <c r="V661" s="223"/>
    </row>
    <row r="662">
      <c r="M662" s="127"/>
      <c r="U662" s="127"/>
      <c r="V662" s="223"/>
    </row>
    <row r="663">
      <c r="M663" s="127"/>
      <c r="U663" s="127"/>
      <c r="V663" s="223"/>
    </row>
    <row r="664">
      <c r="M664" s="127"/>
      <c r="U664" s="127"/>
      <c r="V664" s="223"/>
    </row>
    <row r="665">
      <c r="M665" s="127"/>
      <c r="U665" s="127"/>
      <c r="V665" s="223"/>
    </row>
    <row r="666">
      <c r="M666" s="127"/>
      <c r="U666" s="127"/>
      <c r="V666" s="223"/>
    </row>
    <row r="667">
      <c r="M667" s="127"/>
      <c r="U667" s="127"/>
      <c r="V667" s="223"/>
    </row>
    <row r="668">
      <c r="M668" s="127"/>
      <c r="U668" s="127"/>
      <c r="V668" s="223"/>
    </row>
    <row r="669">
      <c r="M669" s="127"/>
      <c r="U669" s="127"/>
      <c r="V669" s="223"/>
    </row>
    <row r="670">
      <c r="M670" s="127"/>
      <c r="U670" s="127"/>
      <c r="V670" s="223"/>
    </row>
    <row r="671">
      <c r="M671" s="127"/>
      <c r="U671" s="127"/>
      <c r="V671" s="223"/>
    </row>
    <row r="672">
      <c r="M672" s="127"/>
      <c r="U672" s="127"/>
      <c r="V672" s="223"/>
    </row>
    <row r="673">
      <c r="M673" s="127"/>
      <c r="U673" s="127"/>
      <c r="V673" s="223"/>
    </row>
    <row r="674">
      <c r="M674" s="127"/>
      <c r="U674" s="127"/>
      <c r="V674" s="223"/>
    </row>
    <row r="675">
      <c r="M675" s="127"/>
      <c r="U675" s="127"/>
      <c r="V675" s="223"/>
    </row>
    <row r="676">
      <c r="M676" s="127"/>
      <c r="U676" s="127"/>
      <c r="V676" s="223"/>
    </row>
    <row r="677">
      <c r="M677" s="127"/>
      <c r="U677" s="127"/>
      <c r="V677" s="223"/>
    </row>
    <row r="678">
      <c r="M678" s="127"/>
      <c r="U678" s="127"/>
      <c r="V678" s="223"/>
    </row>
    <row r="679">
      <c r="M679" s="127"/>
      <c r="U679" s="127"/>
      <c r="V679" s="223"/>
    </row>
    <row r="680">
      <c r="M680" s="127"/>
      <c r="U680" s="127"/>
      <c r="V680" s="223"/>
    </row>
    <row r="681">
      <c r="M681" s="127"/>
      <c r="U681" s="127"/>
      <c r="V681" s="223"/>
    </row>
    <row r="682">
      <c r="M682" s="127"/>
      <c r="U682" s="127"/>
      <c r="V682" s="223"/>
    </row>
    <row r="683">
      <c r="M683" s="127"/>
      <c r="U683" s="127"/>
      <c r="V683" s="223"/>
    </row>
    <row r="684">
      <c r="M684" s="127"/>
      <c r="U684" s="127"/>
      <c r="V684" s="223"/>
    </row>
    <row r="685">
      <c r="M685" s="127"/>
      <c r="U685" s="127"/>
      <c r="V685" s="223"/>
    </row>
    <row r="686">
      <c r="M686" s="127"/>
      <c r="U686" s="127"/>
      <c r="V686" s="223"/>
    </row>
    <row r="687">
      <c r="M687" s="127"/>
      <c r="U687" s="127"/>
      <c r="V687" s="223"/>
    </row>
    <row r="688">
      <c r="M688" s="127"/>
      <c r="U688" s="127"/>
      <c r="V688" s="223"/>
    </row>
    <row r="689">
      <c r="M689" s="127"/>
      <c r="U689" s="127"/>
      <c r="V689" s="223"/>
    </row>
    <row r="690">
      <c r="M690" s="127"/>
      <c r="U690" s="127"/>
      <c r="V690" s="223"/>
    </row>
    <row r="691">
      <c r="M691" s="127"/>
      <c r="U691" s="127"/>
      <c r="V691" s="223"/>
    </row>
    <row r="692">
      <c r="M692" s="127"/>
      <c r="U692" s="127"/>
      <c r="V692" s="223"/>
    </row>
    <row r="693">
      <c r="M693" s="127"/>
      <c r="U693" s="127"/>
      <c r="V693" s="223"/>
    </row>
    <row r="694">
      <c r="M694" s="127"/>
      <c r="U694" s="127"/>
      <c r="V694" s="223"/>
    </row>
    <row r="695">
      <c r="M695" s="127"/>
      <c r="U695" s="127"/>
      <c r="V695" s="223"/>
    </row>
    <row r="696">
      <c r="M696" s="127"/>
      <c r="U696" s="127"/>
      <c r="V696" s="223"/>
    </row>
    <row r="697">
      <c r="M697" s="127"/>
      <c r="U697" s="127"/>
      <c r="V697" s="223"/>
    </row>
    <row r="698">
      <c r="M698" s="127"/>
      <c r="U698" s="127"/>
      <c r="V698" s="223"/>
    </row>
    <row r="699">
      <c r="M699" s="127"/>
      <c r="U699" s="127"/>
      <c r="V699" s="223"/>
    </row>
    <row r="700">
      <c r="M700" s="127"/>
      <c r="U700" s="127"/>
      <c r="V700" s="223"/>
    </row>
    <row r="701">
      <c r="M701" s="127"/>
      <c r="U701" s="127"/>
      <c r="V701" s="223"/>
    </row>
    <row r="702">
      <c r="M702" s="127"/>
      <c r="U702" s="127"/>
      <c r="V702" s="223"/>
    </row>
    <row r="703">
      <c r="M703" s="127"/>
      <c r="U703" s="127"/>
      <c r="V703" s="223"/>
    </row>
    <row r="704">
      <c r="M704" s="127"/>
      <c r="U704" s="127"/>
      <c r="V704" s="223"/>
    </row>
    <row r="705">
      <c r="M705" s="127"/>
      <c r="U705" s="127"/>
      <c r="V705" s="223"/>
    </row>
    <row r="706">
      <c r="M706" s="127"/>
      <c r="U706" s="127"/>
      <c r="V706" s="223"/>
    </row>
    <row r="707">
      <c r="M707" s="127"/>
      <c r="U707" s="127"/>
      <c r="V707" s="223"/>
    </row>
    <row r="708">
      <c r="M708" s="127"/>
      <c r="U708" s="127"/>
      <c r="V708" s="223"/>
    </row>
    <row r="709">
      <c r="M709" s="127"/>
      <c r="U709" s="127"/>
      <c r="V709" s="223"/>
    </row>
    <row r="710">
      <c r="M710" s="127"/>
      <c r="U710" s="127"/>
      <c r="V710" s="223"/>
    </row>
    <row r="711">
      <c r="M711" s="127"/>
      <c r="U711" s="127"/>
      <c r="V711" s="223"/>
    </row>
    <row r="712">
      <c r="M712" s="127"/>
      <c r="U712" s="127"/>
      <c r="V712" s="223"/>
    </row>
    <row r="713">
      <c r="M713" s="127"/>
      <c r="U713" s="127"/>
      <c r="V713" s="223"/>
    </row>
    <row r="714">
      <c r="M714" s="127"/>
      <c r="U714" s="127"/>
      <c r="V714" s="223"/>
    </row>
    <row r="715">
      <c r="M715" s="127"/>
      <c r="U715" s="127"/>
      <c r="V715" s="223"/>
    </row>
    <row r="716">
      <c r="M716" s="127"/>
      <c r="U716" s="127"/>
      <c r="V716" s="223"/>
    </row>
    <row r="717">
      <c r="M717" s="127"/>
      <c r="U717" s="127"/>
      <c r="V717" s="223"/>
    </row>
    <row r="718">
      <c r="M718" s="127"/>
      <c r="U718" s="127"/>
      <c r="V718" s="223"/>
    </row>
    <row r="719">
      <c r="M719" s="127"/>
      <c r="U719" s="127"/>
      <c r="V719" s="223"/>
    </row>
    <row r="720">
      <c r="M720" s="127"/>
      <c r="U720" s="127"/>
      <c r="V720" s="223"/>
    </row>
    <row r="721">
      <c r="M721" s="127"/>
      <c r="U721" s="127"/>
      <c r="V721" s="223"/>
    </row>
    <row r="722">
      <c r="M722" s="127"/>
      <c r="U722" s="127"/>
      <c r="V722" s="223"/>
    </row>
    <row r="723">
      <c r="M723" s="127"/>
      <c r="U723" s="127"/>
      <c r="V723" s="223"/>
    </row>
    <row r="724">
      <c r="M724" s="127"/>
      <c r="U724" s="127"/>
      <c r="V724" s="223"/>
    </row>
    <row r="725">
      <c r="M725" s="127"/>
      <c r="U725" s="127"/>
      <c r="V725" s="223"/>
    </row>
    <row r="726">
      <c r="M726" s="127"/>
      <c r="U726" s="127"/>
      <c r="V726" s="223"/>
    </row>
    <row r="727">
      <c r="M727" s="127"/>
      <c r="U727" s="127"/>
      <c r="V727" s="223"/>
    </row>
    <row r="728">
      <c r="M728" s="127"/>
      <c r="U728" s="127"/>
      <c r="V728" s="223"/>
    </row>
    <row r="729">
      <c r="M729" s="127"/>
      <c r="U729" s="127"/>
      <c r="V729" s="223"/>
    </row>
    <row r="730">
      <c r="M730" s="127"/>
      <c r="U730" s="127"/>
      <c r="V730" s="223"/>
    </row>
    <row r="731">
      <c r="M731" s="127"/>
      <c r="U731" s="127"/>
      <c r="V731" s="223"/>
    </row>
    <row r="732">
      <c r="M732" s="127"/>
      <c r="U732" s="127"/>
      <c r="V732" s="223"/>
    </row>
    <row r="733">
      <c r="M733" s="127"/>
      <c r="U733" s="127"/>
      <c r="V733" s="223"/>
    </row>
    <row r="734">
      <c r="M734" s="127"/>
      <c r="U734" s="127"/>
      <c r="V734" s="223"/>
    </row>
    <row r="735">
      <c r="M735" s="127"/>
      <c r="U735" s="127"/>
      <c r="V735" s="223"/>
    </row>
    <row r="736">
      <c r="M736" s="127"/>
      <c r="U736" s="127"/>
      <c r="V736" s="223"/>
    </row>
    <row r="737">
      <c r="M737" s="127"/>
      <c r="U737" s="127"/>
      <c r="V737" s="223"/>
    </row>
    <row r="738">
      <c r="M738" s="127"/>
      <c r="U738" s="127"/>
      <c r="V738" s="223"/>
    </row>
    <row r="739">
      <c r="M739" s="127"/>
      <c r="U739" s="127"/>
      <c r="V739" s="223"/>
    </row>
    <row r="740">
      <c r="M740" s="127"/>
      <c r="U740" s="127"/>
      <c r="V740" s="223"/>
    </row>
    <row r="741">
      <c r="M741" s="127"/>
      <c r="U741" s="127"/>
      <c r="V741" s="223"/>
    </row>
    <row r="742">
      <c r="M742" s="127"/>
      <c r="U742" s="127"/>
      <c r="V742" s="223"/>
    </row>
    <row r="743">
      <c r="M743" s="127"/>
      <c r="U743" s="127"/>
      <c r="V743" s="223"/>
    </row>
    <row r="744">
      <c r="M744" s="127"/>
      <c r="U744" s="127"/>
      <c r="V744" s="223"/>
    </row>
    <row r="745">
      <c r="M745" s="127"/>
      <c r="U745" s="127"/>
      <c r="V745" s="223"/>
    </row>
    <row r="746">
      <c r="M746" s="127"/>
      <c r="U746" s="127"/>
      <c r="V746" s="223"/>
    </row>
    <row r="747">
      <c r="M747" s="127"/>
      <c r="U747" s="127"/>
      <c r="V747" s="223"/>
    </row>
    <row r="748">
      <c r="M748" s="127"/>
      <c r="U748" s="127"/>
      <c r="V748" s="223"/>
    </row>
    <row r="749">
      <c r="M749" s="127"/>
      <c r="U749" s="127"/>
      <c r="V749" s="223"/>
    </row>
    <row r="750">
      <c r="M750" s="127"/>
      <c r="U750" s="127"/>
      <c r="V750" s="223"/>
    </row>
    <row r="751">
      <c r="M751" s="127"/>
      <c r="U751" s="127"/>
      <c r="V751" s="223"/>
    </row>
    <row r="752">
      <c r="M752" s="127"/>
      <c r="U752" s="127"/>
      <c r="V752" s="223"/>
    </row>
    <row r="753">
      <c r="M753" s="127"/>
      <c r="U753" s="127"/>
      <c r="V753" s="223"/>
    </row>
    <row r="754">
      <c r="M754" s="127"/>
      <c r="U754" s="127"/>
      <c r="V754" s="223"/>
    </row>
    <row r="755">
      <c r="M755" s="127"/>
      <c r="U755" s="127"/>
      <c r="V755" s="223"/>
    </row>
    <row r="756">
      <c r="M756" s="127"/>
      <c r="U756" s="127"/>
      <c r="V756" s="223"/>
    </row>
    <row r="757">
      <c r="M757" s="127"/>
      <c r="U757" s="127"/>
      <c r="V757" s="223"/>
    </row>
    <row r="758">
      <c r="M758" s="127"/>
      <c r="U758" s="127"/>
      <c r="V758" s="223"/>
    </row>
    <row r="759">
      <c r="M759" s="127"/>
      <c r="U759" s="127"/>
      <c r="V759" s="223"/>
    </row>
    <row r="760">
      <c r="M760" s="127"/>
      <c r="U760" s="127"/>
      <c r="V760" s="223"/>
    </row>
    <row r="761">
      <c r="M761" s="127"/>
      <c r="U761" s="127"/>
      <c r="V761" s="223"/>
    </row>
    <row r="762">
      <c r="M762" s="127"/>
      <c r="U762" s="127"/>
      <c r="V762" s="223"/>
    </row>
    <row r="763">
      <c r="M763" s="127"/>
      <c r="U763" s="127"/>
      <c r="V763" s="223"/>
    </row>
    <row r="764">
      <c r="M764" s="127"/>
      <c r="U764" s="127"/>
      <c r="V764" s="223"/>
    </row>
    <row r="765">
      <c r="M765" s="127"/>
      <c r="U765" s="127"/>
      <c r="V765" s="223"/>
    </row>
    <row r="766">
      <c r="M766" s="127"/>
      <c r="U766" s="127"/>
      <c r="V766" s="223"/>
    </row>
    <row r="767">
      <c r="M767" s="127"/>
      <c r="U767" s="127"/>
      <c r="V767" s="223"/>
    </row>
    <row r="768">
      <c r="M768" s="127"/>
      <c r="U768" s="127"/>
      <c r="V768" s="223"/>
    </row>
    <row r="769">
      <c r="M769" s="127"/>
      <c r="U769" s="127"/>
      <c r="V769" s="223"/>
    </row>
    <row r="770">
      <c r="M770" s="127"/>
      <c r="U770" s="127"/>
      <c r="V770" s="223"/>
    </row>
    <row r="771">
      <c r="M771" s="127"/>
      <c r="U771" s="127"/>
      <c r="V771" s="223"/>
    </row>
    <row r="772">
      <c r="M772" s="127"/>
      <c r="U772" s="127"/>
      <c r="V772" s="223"/>
    </row>
    <row r="773">
      <c r="M773" s="127"/>
      <c r="U773" s="127"/>
      <c r="V773" s="223"/>
    </row>
    <row r="774">
      <c r="M774" s="127"/>
      <c r="U774" s="127"/>
      <c r="V774" s="223"/>
    </row>
    <row r="775">
      <c r="M775" s="127"/>
      <c r="U775" s="127"/>
      <c r="V775" s="223"/>
    </row>
    <row r="776">
      <c r="M776" s="127"/>
      <c r="U776" s="127"/>
      <c r="V776" s="223"/>
    </row>
    <row r="777">
      <c r="M777" s="127"/>
      <c r="U777" s="127"/>
      <c r="V777" s="223"/>
    </row>
    <row r="778">
      <c r="M778" s="127"/>
      <c r="U778" s="127"/>
      <c r="V778" s="223"/>
    </row>
    <row r="779">
      <c r="M779" s="127"/>
      <c r="U779" s="127"/>
      <c r="V779" s="223"/>
    </row>
    <row r="780">
      <c r="M780" s="127"/>
      <c r="U780" s="127"/>
      <c r="V780" s="223"/>
    </row>
    <row r="781">
      <c r="M781" s="127"/>
      <c r="U781" s="127"/>
      <c r="V781" s="223"/>
    </row>
    <row r="782">
      <c r="M782" s="127"/>
      <c r="U782" s="127"/>
      <c r="V782" s="223"/>
    </row>
    <row r="783">
      <c r="M783" s="127"/>
      <c r="U783" s="127"/>
      <c r="V783" s="223"/>
    </row>
    <row r="784">
      <c r="M784" s="127"/>
      <c r="U784" s="127"/>
      <c r="V784" s="223"/>
    </row>
    <row r="785">
      <c r="M785" s="127"/>
      <c r="U785" s="127"/>
      <c r="V785" s="223"/>
    </row>
    <row r="786">
      <c r="M786" s="127"/>
      <c r="U786" s="127"/>
      <c r="V786" s="223"/>
    </row>
    <row r="787">
      <c r="M787" s="127"/>
      <c r="U787" s="127"/>
      <c r="V787" s="223"/>
    </row>
    <row r="788">
      <c r="M788" s="127"/>
      <c r="U788" s="127"/>
      <c r="V788" s="223"/>
    </row>
    <row r="789">
      <c r="M789" s="127"/>
      <c r="U789" s="127"/>
      <c r="V789" s="223"/>
    </row>
    <row r="790">
      <c r="M790" s="127"/>
      <c r="U790" s="127"/>
      <c r="V790" s="223"/>
    </row>
    <row r="791">
      <c r="M791" s="127"/>
      <c r="U791" s="127"/>
      <c r="V791" s="223"/>
    </row>
    <row r="792">
      <c r="M792" s="127"/>
      <c r="U792" s="127"/>
      <c r="V792" s="223"/>
    </row>
    <row r="793">
      <c r="M793" s="127"/>
      <c r="U793" s="127"/>
      <c r="V793" s="223"/>
    </row>
    <row r="794">
      <c r="M794" s="127"/>
      <c r="U794" s="127"/>
      <c r="V794" s="223"/>
    </row>
    <row r="795">
      <c r="M795" s="127"/>
      <c r="U795" s="127"/>
      <c r="V795" s="223"/>
    </row>
    <row r="796">
      <c r="M796" s="127"/>
      <c r="U796" s="127"/>
      <c r="V796" s="223"/>
    </row>
    <row r="797">
      <c r="M797" s="127"/>
      <c r="U797" s="127"/>
      <c r="V797" s="223"/>
    </row>
    <row r="798">
      <c r="M798" s="127"/>
      <c r="U798" s="127"/>
      <c r="V798" s="223"/>
    </row>
    <row r="799">
      <c r="M799" s="127"/>
      <c r="U799" s="127"/>
      <c r="V799" s="223"/>
    </row>
    <row r="800">
      <c r="M800" s="127"/>
      <c r="U800" s="127"/>
      <c r="V800" s="223"/>
    </row>
    <row r="801">
      <c r="M801" s="127"/>
      <c r="U801" s="127"/>
      <c r="V801" s="223"/>
    </row>
    <row r="802">
      <c r="M802" s="127"/>
      <c r="U802" s="127"/>
      <c r="V802" s="223"/>
    </row>
    <row r="803">
      <c r="M803" s="127"/>
      <c r="U803" s="127"/>
      <c r="V803" s="223"/>
    </row>
    <row r="804">
      <c r="M804" s="127"/>
      <c r="U804" s="127"/>
      <c r="V804" s="223"/>
    </row>
    <row r="805">
      <c r="M805" s="127"/>
      <c r="U805" s="127"/>
      <c r="V805" s="223"/>
    </row>
    <row r="806">
      <c r="M806" s="127"/>
      <c r="U806" s="127"/>
      <c r="V806" s="223"/>
    </row>
    <row r="807">
      <c r="M807" s="127"/>
      <c r="U807" s="127"/>
      <c r="V807" s="223"/>
    </row>
    <row r="808">
      <c r="M808" s="127"/>
      <c r="U808" s="127"/>
      <c r="V808" s="223"/>
    </row>
    <row r="809">
      <c r="M809" s="127"/>
      <c r="U809" s="127"/>
      <c r="V809" s="223"/>
    </row>
    <row r="810">
      <c r="M810" s="127"/>
      <c r="U810" s="127"/>
      <c r="V810" s="223"/>
    </row>
    <row r="811">
      <c r="M811" s="127"/>
      <c r="U811" s="127"/>
      <c r="V811" s="223"/>
    </row>
    <row r="812">
      <c r="M812" s="127"/>
      <c r="U812" s="127"/>
      <c r="V812" s="223"/>
    </row>
    <row r="813">
      <c r="M813" s="127"/>
      <c r="U813" s="127"/>
      <c r="V813" s="223"/>
    </row>
    <row r="814">
      <c r="M814" s="127"/>
      <c r="U814" s="127"/>
      <c r="V814" s="223"/>
    </row>
    <row r="815">
      <c r="M815" s="127"/>
      <c r="U815" s="127"/>
      <c r="V815" s="223"/>
    </row>
    <row r="816">
      <c r="M816" s="127"/>
      <c r="U816" s="127"/>
      <c r="V816" s="223"/>
    </row>
    <row r="817">
      <c r="M817" s="127"/>
      <c r="U817" s="127"/>
      <c r="V817" s="223"/>
    </row>
    <row r="818">
      <c r="M818" s="127"/>
      <c r="U818" s="127"/>
      <c r="V818" s="223"/>
    </row>
    <row r="819">
      <c r="M819" s="127"/>
      <c r="U819" s="127"/>
      <c r="V819" s="223"/>
    </row>
    <row r="820">
      <c r="M820" s="127"/>
      <c r="U820" s="127"/>
      <c r="V820" s="223"/>
    </row>
    <row r="821">
      <c r="M821" s="127"/>
      <c r="U821" s="127"/>
      <c r="V821" s="223"/>
    </row>
    <row r="822">
      <c r="M822" s="127"/>
      <c r="U822" s="127"/>
      <c r="V822" s="223"/>
    </row>
    <row r="823">
      <c r="M823" s="127"/>
      <c r="U823" s="127"/>
      <c r="V823" s="223"/>
    </row>
    <row r="824">
      <c r="M824" s="127"/>
      <c r="U824" s="127"/>
      <c r="V824" s="223"/>
    </row>
    <row r="825">
      <c r="M825" s="127"/>
      <c r="U825" s="127"/>
      <c r="V825" s="223"/>
    </row>
    <row r="826">
      <c r="M826" s="127"/>
      <c r="U826" s="127"/>
      <c r="V826" s="223"/>
    </row>
    <row r="827">
      <c r="M827" s="127"/>
      <c r="U827" s="127"/>
      <c r="V827" s="223"/>
    </row>
    <row r="828">
      <c r="M828" s="127"/>
      <c r="U828" s="127"/>
      <c r="V828" s="223"/>
    </row>
    <row r="829">
      <c r="M829" s="127"/>
      <c r="U829" s="127"/>
      <c r="V829" s="223"/>
    </row>
    <row r="830">
      <c r="M830" s="127"/>
      <c r="U830" s="127"/>
      <c r="V830" s="223"/>
    </row>
    <row r="831">
      <c r="M831" s="127"/>
      <c r="U831" s="127"/>
      <c r="V831" s="223"/>
    </row>
    <row r="832">
      <c r="M832" s="127"/>
      <c r="U832" s="127"/>
      <c r="V832" s="223"/>
    </row>
    <row r="833">
      <c r="M833" s="127"/>
      <c r="U833" s="127"/>
      <c r="V833" s="223"/>
    </row>
    <row r="834">
      <c r="M834" s="127"/>
      <c r="U834" s="127"/>
      <c r="V834" s="223"/>
    </row>
    <row r="835">
      <c r="M835" s="127"/>
      <c r="U835" s="127"/>
      <c r="V835" s="223"/>
    </row>
    <row r="836">
      <c r="M836" s="127"/>
      <c r="U836" s="127"/>
      <c r="V836" s="223"/>
    </row>
    <row r="837">
      <c r="M837" s="127"/>
      <c r="U837" s="127"/>
      <c r="V837" s="223"/>
    </row>
    <row r="838">
      <c r="M838" s="127"/>
      <c r="U838" s="127"/>
      <c r="V838" s="223"/>
    </row>
    <row r="839">
      <c r="M839" s="127"/>
      <c r="U839" s="127"/>
      <c r="V839" s="223"/>
    </row>
    <row r="840">
      <c r="M840" s="127"/>
      <c r="U840" s="127"/>
      <c r="V840" s="223"/>
    </row>
    <row r="841">
      <c r="M841" s="127"/>
      <c r="U841" s="127"/>
      <c r="V841" s="223"/>
    </row>
    <row r="842">
      <c r="M842" s="127"/>
      <c r="U842" s="127"/>
      <c r="V842" s="223"/>
    </row>
    <row r="843">
      <c r="M843" s="127"/>
      <c r="U843" s="127"/>
      <c r="V843" s="223"/>
    </row>
    <row r="844">
      <c r="M844" s="127"/>
      <c r="U844" s="127"/>
      <c r="V844" s="223"/>
    </row>
    <row r="845">
      <c r="M845" s="127"/>
      <c r="U845" s="127"/>
      <c r="V845" s="223"/>
    </row>
    <row r="846">
      <c r="M846" s="127"/>
      <c r="U846" s="127"/>
      <c r="V846" s="223"/>
    </row>
    <row r="847">
      <c r="M847" s="127"/>
      <c r="U847" s="127"/>
      <c r="V847" s="223"/>
    </row>
    <row r="848">
      <c r="M848" s="127"/>
      <c r="U848" s="127"/>
      <c r="V848" s="223"/>
    </row>
    <row r="849">
      <c r="M849" s="127"/>
      <c r="U849" s="127"/>
      <c r="V849" s="223"/>
    </row>
    <row r="850">
      <c r="M850" s="127"/>
      <c r="U850" s="127"/>
      <c r="V850" s="223"/>
    </row>
    <row r="851">
      <c r="M851" s="127"/>
      <c r="U851" s="127"/>
      <c r="V851" s="223"/>
    </row>
    <row r="852">
      <c r="M852" s="127"/>
      <c r="U852" s="127"/>
      <c r="V852" s="223"/>
    </row>
    <row r="853">
      <c r="M853" s="127"/>
      <c r="U853" s="127"/>
      <c r="V853" s="223"/>
    </row>
    <row r="854">
      <c r="M854" s="127"/>
      <c r="U854" s="127"/>
      <c r="V854" s="223"/>
    </row>
    <row r="855">
      <c r="M855" s="127"/>
      <c r="U855" s="127"/>
      <c r="V855" s="223"/>
    </row>
    <row r="856">
      <c r="M856" s="127"/>
      <c r="U856" s="127"/>
      <c r="V856" s="223"/>
    </row>
    <row r="857">
      <c r="M857" s="127"/>
      <c r="U857" s="127"/>
      <c r="V857" s="223"/>
    </row>
    <row r="858">
      <c r="M858" s="127"/>
      <c r="U858" s="127"/>
      <c r="V858" s="223"/>
    </row>
    <row r="859">
      <c r="M859" s="127"/>
      <c r="U859" s="127"/>
      <c r="V859" s="223"/>
    </row>
    <row r="860">
      <c r="M860" s="127"/>
      <c r="U860" s="127"/>
      <c r="V860" s="223"/>
    </row>
    <row r="861">
      <c r="M861" s="127"/>
      <c r="U861" s="127"/>
      <c r="V861" s="223"/>
    </row>
    <row r="862">
      <c r="M862" s="127"/>
      <c r="U862" s="127"/>
      <c r="V862" s="223"/>
    </row>
    <row r="863">
      <c r="M863" s="127"/>
      <c r="U863" s="127"/>
      <c r="V863" s="223"/>
    </row>
    <row r="864">
      <c r="M864" s="127"/>
      <c r="U864" s="127"/>
      <c r="V864" s="223"/>
    </row>
    <row r="865">
      <c r="M865" s="127"/>
      <c r="U865" s="127"/>
      <c r="V865" s="223"/>
    </row>
    <row r="866">
      <c r="M866" s="127"/>
      <c r="U866" s="127"/>
      <c r="V866" s="223"/>
    </row>
    <row r="867">
      <c r="M867" s="127"/>
      <c r="U867" s="127"/>
      <c r="V867" s="223"/>
    </row>
    <row r="868">
      <c r="M868" s="127"/>
      <c r="U868" s="127"/>
      <c r="V868" s="223"/>
    </row>
    <row r="869">
      <c r="M869" s="127"/>
      <c r="U869" s="127"/>
      <c r="V869" s="223"/>
    </row>
    <row r="870">
      <c r="M870" s="127"/>
      <c r="U870" s="127"/>
      <c r="V870" s="223"/>
    </row>
    <row r="871">
      <c r="M871" s="127"/>
      <c r="U871" s="127"/>
      <c r="V871" s="223"/>
    </row>
    <row r="872">
      <c r="M872" s="127"/>
      <c r="U872" s="127"/>
      <c r="V872" s="223"/>
    </row>
    <row r="873">
      <c r="M873" s="127"/>
      <c r="U873" s="127"/>
      <c r="V873" s="223"/>
    </row>
    <row r="874">
      <c r="M874" s="127"/>
      <c r="U874" s="127"/>
      <c r="V874" s="223"/>
    </row>
    <row r="875">
      <c r="M875" s="127"/>
      <c r="U875" s="127"/>
      <c r="V875" s="223"/>
    </row>
    <row r="876">
      <c r="M876" s="127"/>
      <c r="U876" s="127"/>
      <c r="V876" s="223"/>
    </row>
    <row r="877">
      <c r="M877" s="127"/>
      <c r="U877" s="127"/>
      <c r="V877" s="223"/>
    </row>
    <row r="878">
      <c r="M878" s="127"/>
      <c r="U878" s="127"/>
      <c r="V878" s="223"/>
    </row>
    <row r="879">
      <c r="M879" s="127"/>
      <c r="U879" s="127"/>
      <c r="V879" s="223"/>
    </row>
    <row r="880">
      <c r="M880" s="127"/>
      <c r="U880" s="127"/>
      <c r="V880" s="223"/>
    </row>
    <row r="881">
      <c r="M881" s="127"/>
      <c r="U881" s="127"/>
      <c r="V881" s="223"/>
    </row>
    <row r="882">
      <c r="M882" s="127"/>
      <c r="U882" s="127"/>
      <c r="V882" s="223"/>
    </row>
    <row r="883">
      <c r="M883" s="127"/>
      <c r="U883" s="127"/>
      <c r="V883" s="223"/>
    </row>
    <row r="884">
      <c r="M884" s="127"/>
      <c r="U884" s="127"/>
      <c r="V884" s="223"/>
    </row>
    <row r="885">
      <c r="M885" s="127"/>
      <c r="U885" s="127"/>
      <c r="V885" s="223"/>
    </row>
    <row r="886">
      <c r="M886" s="127"/>
      <c r="U886" s="127"/>
      <c r="V886" s="223"/>
    </row>
    <row r="887">
      <c r="M887" s="127"/>
      <c r="U887" s="127"/>
      <c r="V887" s="223"/>
    </row>
    <row r="888">
      <c r="M888" s="127"/>
      <c r="U888" s="127"/>
      <c r="V888" s="223"/>
    </row>
    <row r="889">
      <c r="M889" s="127"/>
      <c r="U889" s="127"/>
      <c r="V889" s="223"/>
    </row>
    <row r="890">
      <c r="M890" s="127"/>
      <c r="U890" s="127"/>
      <c r="V890" s="223"/>
    </row>
    <row r="891">
      <c r="M891" s="127"/>
      <c r="U891" s="127"/>
      <c r="V891" s="223"/>
    </row>
    <row r="892">
      <c r="M892" s="127"/>
      <c r="U892" s="127"/>
      <c r="V892" s="223"/>
    </row>
    <row r="893">
      <c r="M893" s="127"/>
      <c r="U893" s="127"/>
      <c r="V893" s="223"/>
    </row>
    <row r="894">
      <c r="M894" s="127"/>
      <c r="U894" s="127"/>
      <c r="V894" s="223"/>
    </row>
    <row r="895">
      <c r="M895" s="127"/>
      <c r="U895" s="127"/>
      <c r="V895" s="223"/>
    </row>
    <row r="896">
      <c r="M896" s="127"/>
      <c r="U896" s="127"/>
      <c r="V896" s="223"/>
    </row>
    <row r="897">
      <c r="M897" s="127"/>
      <c r="U897" s="127"/>
      <c r="V897" s="223"/>
    </row>
    <row r="898">
      <c r="M898" s="127"/>
      <c r="U898" s="127"/>
      <c r="V898" s="223"/>
    </row>
    <row r="899">
      <c r="M899" s="127"/>
      <c r="U899" s="127"/>
      <c r="V899" s="223"/>
    </row>
    <row r="900">
      <c r="M900" s="127"/>
      <c r="U900" s="127"/>
      <c r="V900" s="223"/>
    </row>
    <row r="901">
      <c r="M901" s="127"/>
      <c r="U901" s="127"/>
      <c r="V901" s="223"/>
    </row>
    <row r="902">
      <c r="M902" s="127"/>
      <c r="U902" s="127"/>
      <c r="V902" s="223"/>
    </row>
    <row r="903">
      <c r="M903" s="127"/>
      <c r="U903" s="127"/>
      <c r="V903" s="223"/>
    </row>
    <row r="904">
      <c r="M904" s="127"/>
      <c r="U904" s="127"/>
      <c r="V904" s="223"/>
    </row>
    <row r="905">
      <c r="M905" s="127"/>
      <c r="U905" s="127"/>
      <c r="V905" s="223"/>
    </row>
    <row r="906">
      <c r="M906" s="127"/>
      <c r="U906" s="127"/>
      <c r="V906" s="223"/>
    </row>
    <row r="907">
      <c r="M907" s="127"/>
      <c r="U907" s="127"/>
      <c r="V907" s="223"/>
    </row>
    <row r="908">
      <c r="M908" s="127"/>
      <c r="U908" s="127"/>
      <c r="V908" s="223"/>
    </row>
    <row r="909">
      <c r="M909" s="127"/>
      <c r="U909" s="127"/>
      <c r="V909" s="223"/>
    </row>
    <row r="910">
      <c r="M910" s="127"/>
      <c r="U910" s="127"/>
      <c r="V910" s="223"/>
    </row>
    <row r="911">
      <c r="M911" s="127"/>
      <c r="U911" s="127"/>
      <c r="V911" s="223"/>
    </row>
    <row r="912">
      <c r="M912" s="127"/>
      <c r="U912" s="127"/>
      <c r="V912" s="223"/>
    </row>
    <row r="913">
      <c r="M913" s="127"/>
      <c r="U913" s="127"/>
      <c r="V913" s="223"/>
    </row>
    <row r="914">
      <c r="M914" s="127"/>
      <c r="U914" s="127"/>
      <c r="V914" s="223"/>
    </row>
    <row r="915">
      <c r="M915" s="127"/>
      <c r="U915" s="127"/>
      <c r="V915" s="223"/>
    </row>
    <row r="916">
      <c r="M916" s="127"/>
      <c r="U916" s="127"/>
      <c r="V916" s="223"/>
    </row>
    <row r="917">
      <c r="M917" s="127"/>
      <c r="U917" s="127"/>
      <c r="V917" s="223"/>
    </row>
    <row r="918">
      <c r="M918" s="127"/>
      <c r="U918" s="127"/>
      <c r="V918" s="223"/>
    </row>
    <row r="919">
      <c r="M919" s="127"/>
      <c r="U919" s="127"/>
      <c r="V919" s="223"/>
    </row>
    <row r="920">
      <c r="M920" s="127"/>
      <c r="U920" s="127"/>
      <c r="V920" s="223"/>
    </row>
    <row r="921">
      <c r="M921" s="127"/>
      <c r="U921" s="127"/>
      <c r="V921" s="223"/>
    </row>
    <row r="922">
      <c r="M922" s="127"/>
      <c r="U922" s="127"/>
      <c r="V922" s="223"/>
    </row>
    <row r="923">
      <c r="M923" s="127"/>
      <c r="U923" s="127"/>
      <c r="V923" s="223"/>
    </row>
    <row r="924">
      <c r="M924" s="127"/>
      <c r="U924" s="127"/>
      <c r="V924" s="223"/>
    </row>
    <row r="925">
      <c r="M925" s="127"/>
      <c r="U925" s="127"/>
      <c r="V925" s="223"/>
    </row>
    <row r="926">
      <c r="M926" s="127"/>
      <c r="U926" s="127"/>
      <c r="V926" s="223"/>
    </row>
    <row r="927">
      <c r="M927" s="127"/>
      <c r="U927" s="127"/>
      <c r="V927" s="223"/>
    </row>
    <row r="928">
      <c r="M928" s="127"/>
      <c r="U928" s="127"/>
      <c r="V928" s="223"/>
    </row>
    <row r="929">
      <c r="M929" s="127"/>
      <c r="U929" s="127"/>
      <c r="V929" s="223"/>
    </row>
    <row r="930">
      <c r="M930" s="127"/>
      <c r="U930" s="127"/>
      <c r="V930" s="223"/>
    </row>
    <row r="931">
      <c r="M931" s="127"/>
      <c r="U931" s="127"/>
      <c r="V931" s="223"/>
    </row>
    <row r="932">
      <c r="M932" s="127"/>
      <c r="U932" s="127"/>
      <c r="V932" s="223"/>
    </row>
    <row r="933">
      <c r="M933" s="127"/>
      <c r="U933" s="127"/>
      <c r="V933" s="223"/>
    </row>
    <row r="934">
      <c r="M934" s="127"/>
      <c r="U934" s="127"/>
      <c r="V934" s="223"/>
    </row>
    <row r="935">
      <c r="M935" s="127"/>
      <c r="U935" s="127"/>
      <c r="V935" s="223"/>
    </row>
    <row r="936">
      <c r="M936" s="127"/>
      <c r="U936" s="127"/>
      <c r="V936" s="223"/>
    </row>
    <row r="937">
      <c r="M937" s="127"/>
      <c r="U937" s="127"/>
      <c r="V937" s="223"/>
    </row>
    <row r="938">
      <c r="M938" s="127"/>
      <c r="U938" s="127"/>
      <c r="V938" s="223"/>
    </row>
    <row r="939">
      <c r="M939" s="127"/>
      <c r="U939" s="127"/>
      <c r="V939" s="223"/>
    </row>
    <row r="940">
      <c r="M940" s="127"/>
      <c r="U940" s="127"/>
      <c r="V940" s="223"/>
    </row>
    <row r="941">
      <c r="M941" s="127"/>
      <c r="U941" s="127"/>
      <c r="V941" s="223"/>
    </row>
    <row r="942">
      <c r="M942" s="127"/>
      <c r="U942" s="127"/>
      <c r="V942" s="223"/>
    </row>
    <row r="943">
      <c r="M943" s="127"/>
      <c r="U943" s="127"/>
      <c r="V943" s="223"/>
    </row>
    <row r="944">
      <c r="M944" s="127"/>
      <c r="U944" s="127"/>
      <c r="V944" s="223"/>
    </row>
    <row r="945">
      <c r="M945" s="127"/>
      <c r="U945" s="127"/>
      <c r="V945" s="223"/>
    </row>
    <row r="946">
      <c r="M946" s="127"/>
      <c r="U946" s="127"/>
      <c r="V946" s="223"/>
    </row>
    <row r="947">
      <c r="M947" s="127"/>
      <c r="U947" s="127"/>
      <c r="V947" s="223"/>
    </row>
    <row r="948">
      <c r="M948" s="127"/>
      <c r="U948" s="127"/>
      <c r="V948" s="223"/>
    </row>
    <row r="949">
      <c r="M949" s="127"/>
      <c r="U949" s="127"/>
      <c r="V949" s="223"/>
    </row>
    <row r="950">
      <c r="M950" s="127"/>
      <c r="U950" s="127"/>
      <c r="V950" s="223"/>
    </row>
    <row r="951">
      <c r="M951" s="127"/>
      <c r="U951" s="127"/>
      <c r="V951" s="223"/>
    </row>
    <row r="952">
      <c r="M952" s="127"/>
      <c r="U952" s="127"/>
      <c r="V952" s="223"/>
    </row>
    <row r="953">
      <c r="M953" s="127"/>
      <c r="U953" s="127"/>
      <c r="V953" s="223"/>
    </row>
    <row r="954">
      <c r="M954" s="127"/>
      <c r="U954" s="127"/>
      <c r="V954" s="223"/>
    </row>
    <row r="955">
      <c r="M955" s="127"/>
      <c r="U955" s="127"/>
      <c r="V955" s="223"/>
    </row>
    <row r="956">
      <c r="M956" s="127"/>
      <c r="U956" s="127"/>
      <c r="V956" s="223"/>
    </row>
    <row r="957">
      <c r="M957" s="127"/>
      <c r="U957" s="127"/>
      <c r="V957" s="223"/>
    </row>
    <row r="958">
      <c r="M958" s="127"/>
      <c r="U958" s="127"/>
      <c r="V958" s="223"/>
    </row>
    <row r="959">
      <c r="M959" s="127"/>
      <c r="U959" s="127"/>
      <c r="V959" s="223"/>
    </row>
    <row r="960">
      <c r="M960" s="127"/>
      <c r="U960" s="127"/>
      <c r="V960" s="223"/>
    </row>
    <row r="961">
      <c r="M961" s="127"/>
      <c r="U961" s="127"/>
      <c r="V961" s="223"/>
    </row>
    <row r="962">
      <c r="M962" s="127"/>
      <c r="U962" s="127"/>
      <c r="V962" s="223"/>
    </row>
    <row r="963">
      <c r="M963" s="127"/>
      <c r="U963" s="127"/>
      <c r="V963" s="223"/>
    </row>
    <row r="964">
      <c r="M964" s="127"/>
      <c r="U964" s="127"/>
      <c r="V964" s="223"/>
    </row>
    <row r="965">
      <c r="M965" s="127"/>
      <c r="U965" s="127"/>
      <c r="V965" s="223"/>
    </row>
    <row r="966">
      <c r="M966" s="127"/>
      <c r="U966" s="127"/>
      <c r="V966" s="223"/>
    </row>
    <row r="967">
      <c r="M967" s="127"/>
      <c r="U967" s="127"/>
      <c r="V967" s="223"/>
    </row>
    <row r="968">
      <c r="M968" s="127"/>
      <c r="U968" s="127"/>
      <c r="V968" s="223"/>
    </row>
    <row r="969">
      <c r="M969" s="127"/>
      <c r="U969" s="127"/>
      <c r="V969" s="223"/>
    </row>
    <row r="970">
      <c r="M970" s="127"/>
      <c r="U970" s="127"/>
      <c r="V970" s="223"/>
    </row>
    <row r="971">
      <c r="M971" s="127"/>
      <c r="U971" s="127"/>
      <c r="V971" s="223"/>
    </row>
    <row r="972">
      <c r="M972" s="127"/>
      <c r="U972" s="127"/>
      <c r="V972" s="223"/>
    </row>
    <row r="973">
      <c r="M973" s="127"/>
      <c r="U973" s="127"/>
      <c r="V973" s="223"/>
    </row>
    <row r="974">
      <c r="M974" s="127"/>
      <c r="U974" s="127"/>
      <c r="V974" s="223"/>
    </row>
    <row r="975">
      <c r="M975" s="127"/>
      <c r="U975" s="127"/>
      <c r="V975" s="223"/>
    </row>
    <row r="976">
      <c r="M976" s="127"/>
      <c r="U976" s="127"/>
      <c r="V976" s="223"/>
    </row>
    <row r="977">
      <c r="M977" s="127"/>
      <c r="U977" s="127"/>
      <c r="V977" s="223"/>
    </row>
    <row r="978">
      <c r="M978" s="127"/>
      <c r="U978" s="127"/>
      <c r="V978" s="223"/>
    </row>
    <row r="979">
      <c r="M979" s="127"/>
      <c r="U979" s="127"/>
      <c r="V979" s="223"/>
    </row>
    <row r="980">
      <c r="M980" s="127"/>
      <c r="U980" s="127"/>
      <c r="V980" s="223"/>
    </row>
    <row r="981">
      <c r="M981" s="127"/>
      <c r="U981" s="127"/>
      <c r="V981" s="223"/>
    </row>
    <row r="982">
      <c r="M982" s="127"/>
      <c r="U982" s="127"/>
      <c r="V982" s="223"/>
    </row>
    <row r="983">
      <c r="M983" s="127"/>
      <c r="U983" s="127"/>
      <c r="V983" s="223"/>
    </row>
    <row r="984">
      <c r="M984" s="127"/>
      <c r="U984" s="127"/>
      <c r="V984" s="223"/>
    </row>
    <row r="985">
      <c r="M985" s="127"/>
      <c r="U985" s="127"/>
      <c r="V985" s="223"/>
    </row>
    <row r="986">
      <c r="M986" s="127"/>
      <c r="U986" s="127"/>
      <c r="V986" s="223"/>
    </row>
    <row r="987">
      <c r="M987" s="127"/>
      <c r="U987" s="127"/>
      <c r="V987" s="223"/>
    </row>
    <row r="988">
      <c r="M988" s="127"/>
      <c r="U988" s="127"/>
      <c r="V988" s="223"/>
    </row>
    <row r="989">
      <c r="M989" s="127"/>
      <c r="U989" s="127"/>
      <c r="V989" s="223"/>
    </row>
    <row r="990">
      <c r="M990" s="127"/>
      <c r="U990" s="127"/>
      <c r="V990" s="223"/>
    </row>
    <row r="991">
      <c r="M991" s="127"/>
      <c r="U991" s="127"/>
      <c r="V991" s="223"/>
    </row>
    <row r="992">
      <c r="M992" s="127"/>
      <c r="U992" s="127"/>
      <c r="V992" s="223"/>
    </row>
    <row r="993">
      <c r="M993" s="127"/>
      <c r="U993" s="127"/>
      <c r="V993" s="223"/>
    </row>
    <row r="994">
      <c r="M994" s="127"/>
      <c r="U994" s="127"/>
      <c r="V994" s="223"/>
    </row>
    <row r="995">
      <c r="M995" s="127"/>
      <c r="U995" s="127"/>
      <c r="V995" s="223"/>
    </row>
    <row r="996">
      <c r="M996" s="127"/>
      <c r="U996" s="127"/>
      <c r="V996" s="223"/>
    </row>
    <row r="997">
      <c r="M997" s="127"/>
      <c r="U997" s="127"/>
      <c r="V997" s="223"/>
    </row>
    <row r="998">
      <c r="M998" s="127"/>
      <c r="U998" s="127"/>
      <c r="V998" s="223"/>
    </row>
    <row r="999">
      <c r="M999" s="127"/>
      <c r="U999" s="127"/>
      <c r="V999" s="223"/>
    </row>
    <row r="1000">
      <c r="M1000" s="127"/>
      <c r="U1000" s="127"/>
      <c r="V1000" s="223"/>
    </row>
    <row r="1001">
      <c r="M1001" s="127"/>
      <c r="U1001" s="127"/>
      <c r="V1001" s="223"/>
    </row>
    <row r="1002">
      <c r="M1002" s="127"/>
      <c r="U1002" s="127"/>
      <c r="V1002" s="223"/>
    </row>
    <row r="1003">
      <c r="M1003" s="127"/>
      <c r="U1003" s="127"/>
      <c r="V1003" s="223"/>
    </row>
    <row r="1004">
      <c r="M1004" s="127"/>
      <c r="U1004" s="127"/>
      <c r="V1004" s="223"/>
    </row>
    <row r="1005">
      <c r="M1005" s="127"/>
      <c r="U1005" s="127"/>
      <c r="V1005" s="223"/>
    </row>
    <row r="1006">
      <c r="M1006" s="127"/>
      <c r="U1006" s="127"/>
      <c r="V1006" s="223"/>
    </row>
    <row r="1007">
      <c r="M1007" s="127"/>
      <c r="U1007" s="127"/>
      <c r="V1007" s="223"/>
    </row>
    <row r="1008">
      <c r="M1008" s="127"/>
      <c r="U1008" s="127"/>
      <c r="V1008" s="223"/>
    </row>
    <row r="1009">
      <c r="M1009" s="127"/>
      <c r="U1009" s="127"/>
      <c r="V1009" s="223"/>
    </row>
    <row r="1010">
      <c r="M1010" s="127"/>
      <c r="U1010" s="127"/>
      <c r="V1010" s="223"/>
    </row>
    <row r="1011">
      <c r="M1011" s="127"/>
      <c r="U1011" s="127"/>
      <c r="V1011" s="223"/>
    </row>
    <row r="1012">
      <c r="M1012" s="127"/>
      <c r="U1012" s="127"/>
      <c r="V1012" s="223"/>
    </row>
    <row r="1013">
      <c r="M1013" s="127"/>
      <c r="U1013" s="127"/>
      <c r="V1013" s="223"/>
    </row>
    <row r="1014">
      <c r="M1014" s="127"/>
      <c r="U1014" s="127"/>
      <c r="V1014" s="223"/>
    </row>
    <row r="1015">
      <c r="M1015" s="127"/>
      <c r="U1015" s="127"/>
      <c r="V1015" s="223"/>
    </row>
    <row r="1016">
      <c r="M1016" s="127"/>
      <c r="U1016" s="127"/>
      <c r="V1016" s="223"/>
    </row>
    <row r="1017">
      <c r="M1017" s="127"/>
      <c r="U1017" s="127"/>
      <c r="V1017" s="223"/>
    </row>
    <row r="1018">
      <c r="M1018" s="127"/>
      <c r="U1018" s="127"/>
      <c r="V1018" s="223"/>
    </row>
    <row r="1019">
      <c r="M1019" s="127"/>
      <c r="U1019" s="127"/>
      <c r="V1019" s="223"/>
    </row>
    <row r="1020">
      <c r="M1020" s="127"/>
      <c r="U1020" s="127"/>
      <c r="V1020" s="223"/>
    </row>
    <row r="1021">
      <c r="M1021" s="127"/>
      <c r="U1021" s="127"/>
      <c r="V1021" s="223"/>
    </row>
    <row r="1022">
      <c r="M1022" s="127"/>
      <c r="U1022" s="127"/>
      <c r="V1022" s="223"/>
    </row>
    <row r="1023">
      <c r="M1023" s="127"/>
      <c r="U1023" s="127"/>
      <c r="V1023" s="223"/>
    </row>
    <row r="1024">
      <c r="M1024" s="127"/>
      <c r="U1024" s="127"/>
      <c r="V1024" s="223"/>
    </row>
    <row r="1025">
      <c r="M1025" s="127"/>
      <c r="U1025" s="127"/>
      <c r="V1025" s="223"/>
    </row>
    <row r="1026">
      <c r="M1026" s="127"/>
      <c r="U1026" s="127"/>
      <c r="V1026" s="223"/>
    </row>
    <row r="1027">
      <c r="M1027" s="127"/>
      <c r="U1027" s="127"/>
      <c r="V1027" s="223"/>
    </row>
    <row r="1028">
      <c r="M1028" s="127"/>
      <c r="U1028" s="127"/>
      <c r="V1028" s="223"/>
    </row>
    <row r="1029">
      <c r="M1029" s="127"/>
      <c r="U1029" s="127"/>
      <c r="V1029" s="223"/>
    </row>
    <row r="1030">
      <c r="M1030" s="127"/>
      <c r="U1030" s="127"/>
      <c r="V1030" s="223"/>
    </row>
    <row r="1031">
      <c r="M1031" s="127"/>
      <c r="U1031" s="127"/>
      <c r="V1031" s="223"/>
    </row>
    <row r="1032">
      <c r="M1032" s="127"/>
      <c r="U1032" s="127"/>
      <c r="V1032" s="223"/>
    </row>
    <row r="1033">
      <c r="M1033" s="127"/>
      <c r="U1033" s="127"/>
      <c r="V1033" s="223"/>
    </row>
    <row r="1034">
      <c r="M1034" s="127"/>
      <c r="U1034" s="127"/>
      <c r="V1034" s="223"/>
    </row>
    <row r="1035">
      <c r="M1035" s="127"/>
      <c r="U1035" s="127"/>
      <c r="V1035" s="223"/>
    </row>
    <row r="1036">
      <c r="M1036" s="127"/>
      <c r="U1036" s="127"/>
      <c r="V1036" s="223"/>
    </row>
    <row r="1037">
      <c r="M1037" s="127"/>
      <c r="U1037" s="127"/>
      <c r="V1037" s="223"/>
    </row>
    <row r="1038">
      <c r="M1038" s="127"/>
      <c r="U1038" s="127"/>
      <c r="V1038" s="223"/>
    </row>
    <row r="1039">
      <c r="M1039" s="127"/>
      <c r="U1039" s="127"/>
      <c r="V1039" s="223"/>
    </row>
    <row r="1040">
      <c r="M1040" s="127"/>
      <c r="U1040" s="127"/>
      <c r="V1040" s="223"/>
    </row>
    <row r="1041">
      <c r="M1041" s="127"/>
      <c r="U1041" s="127"/>
      <c r="V1041" s="223"/>
    </row>
    <row r="1042">
      <c r="M1042" s="127"/>
      <c r="U1042" s="127"/>
      <c r="V1042" s="223"/>
    </row>
  </sheetData>
  <mergeCells count="3">
    <mergeCell ref="A1:T1"/>
    <mergeCell ref="B2:E2"/>
    <mergeCell ref="I2:T2"/>
  </mergeCells>
  <drawing r:id="rId2"/>
  <legacyDrawing r:id="rId3"/>
</worksheet>
</file>